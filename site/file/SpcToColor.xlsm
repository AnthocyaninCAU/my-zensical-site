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实验\"/>
    </mc:Choice>
  </mc:AlternateContent>
  <xr:revisionPtr revIDLastSave="0" documentId="13_ncr:1_{6F8F6992-DA57-4D30-9578-BD7F3EF585E5}" xr6:coauthVersionLast="47" xr6:coauthVersionMax="47" xr10:uidLastSave="{00000000-0000-0000-0000-000000000000}"/>
  <bookViews>
    <workbookView xWindow="-105" yWindow="0" windowWidth="19410" windowHeight="20985" xr2:uid="{00000000-000D-0000-FFFF-FFFF00000000}"/>
  </bookViews>
  <sheets>
    <sheet name="1" sheetId="3" r:id="rId1"/>
    <sheet name="Calculation" sheetId="2" r:id="rId2"/>
    <sheet name="Parameters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83" i="2" l="1"/>
  <c r="J183" i="2" s="1"/>
  <c r="M184" i="2"/>
  <c r="J184" i="2" s="1"/>
  <c r="M185" i="2"/>
  <c r="J185" i="2" s="1"/>
  <c r="M188" i="2"/>
  <c r="M187" i="2"/>
  <c r="E1" i="2" a="1"/>
  <c r="E1" i="2" s="1"/>
  <c r="B1" i="2" a="1"/>
  <c r="B1" i="2" s="1"/>
  <c r="B3" i="1" a="1"/>
  <c r="B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3" i="1" a="1"/>
  <c r="G3" i="1" s="1"/>
  <c r="O3" i="2" a="1"/>
  <c r="O3" i="2" s="1"/>
  <c r="O4" i="2" a="1"/>
  <c r="O4" i="2" s="1"/>
  <c r="O36" i="2" a="1"/>
  <c r="O36" i="2" s="1"/>
  <c r="O68" i="2" a="1"/>
  <c r="O68" i="2" s="1"/>
  <c r="O19" i="2" a="1"/>
  <c r="O19" i="2" s="1"/>
  <c r="O51" i="2" a="1"/>
  <c r="O51" i="2" s="1"/>
  <c r="O2" i="2" a="1"/>
  <c r="O2" i="2" l="1"/>
  <c r="O62" i="2" a="1"/>
  <c r="O30" i="2" a="1"/>
  <c r="O81" i="2" a="1"/>
  <c r="O64" i="2" a="1"/>
  <c r="O63" i="2" a="1"/>
  <c r="O31" i="2" a="1"/>
  <c r="O55" i="2" a="1"/>
  <c r="O54" i="2" a="1"/>
  <c r="O22" i="2" a="1"/>
  <c r="O78" i="2" a="1"/>
  <c r="O46" i="2" a="1"/>
  <c r="O14" i="2" a="1"/>
  <c r="K2" i="2"/>
  <c r="K75" i="2"/>
  <c r="L64" i="2"/>
  <c r="J54" i="2"/>
  <c r="K43" i="2"/>
  <c r="J22" i="2"/>
  <c r="J12" i="2"/>
  <c r="K11" i="2"/>
  <c r="K76" i="2"/>
  <c r="L65" i="2"/>
  <c r="J55" i="2"/>
  <c r="K44" i="2"/>
  <c r="L33" i="2"/>
  <c r="J23" i="2"/>
  <c r="K12" i="2"/>
  <c r="J76" i="2"/>
  <c r="K65" i="2"/>
  <c r="L54" i="2"/>
  <c r="J44" i="2"/>
  <c r="K33" i="2"/>
  <c r="L22" i="2"/>
  <c r="L75" i="2"/>
  <c r="J65" i="2"/>
  <c r="K54" i="2"/>
  <c r="L43" i="2"/>
  <c r="J33" i="2"/>
  <c r="K22" i="2"/>
  <c r="L11" i="2"/>
  <c r="L32" i="2"/>
  <c r="J75" i="2"/>
  <c r="K64" i="2"/>
  <c r="L53" i="2"/>
  <c r="J43" i="2"/>
  <c r="K32" i="2"/>
  <c r="L21" i="2"/>
  <c r="J11" i="2"/>
  <c r="L74" i="2"/>
  <c r="J64" i="2"/>
  <c r="K53" i="2"/>
  <c r="L42" i="2"/>
  <c r="J32" i="2"/>
  <c r="K21" i="2"/>
  <c r="L10" i="2"/>
  <c r="K74" i="2"/>
  <c r="L63" i="2"/>
  <c r="J53" i="2"/>
  <c r="K42" i="2"/>
  <c r="L31" i="2"/>
  <c r="J21" i="2"/>
  <c r="K10" i="2"/>
  <c r="J74" i="2"/>
  <c r="K63" i="2"/>
  <c r="L52" i="2"/>
  <c r="J42" i="2"/>
  <c r="K31" i="2"/>
  <c r="L20" i="2"/>
  <c r="J10" i="2"/>
  <c r="L73" i="2"/>
  <c r="J63" i="2"/>
  <c r="K52" i="2"/>
  <c r="L41" i="2"/>
  <c r="J31" i="2"/>
  <c r="K20" i="2"/>
  <c r="L9" i="2"/>
  <c r="K73" i="2"/>
  <c r="L62" i="2"/>
  <c r="J52" i="2"/>
  <c r="K41" i="2"/>
  <c r="L30" i="2"/>
  <c r="J20" i="2"/>
  <c r="K9" i="2"/>
  <c r="J2" i="2"/>
  <c r="J73" i="2"/>
  <c r="K62" i="2"/>
  <c r="L51" i="2"/>
  <c r="J41" i="2"/>
  <c r="K30" i="2"/>
  <c r="L19" i="2"/>
  <c r="J9" i="2"/>
  <c r="L2" i="2"/>
  <c r="L72" i="2"/>
  <c r="J62" i="2"/>
  <c r="K51" i="2"/>
  <c r="L40" i="2"/>
  <c r="J30" i="2"/>
  <c r="K19" i="2"/>
  <c r="L8" i="2"/>
  <c r="K8" i="2"/>
  <c r="L82" i="2"/>
  <c r="J72" i="2"/>
  <c r="K61" i="2"/>
  <c r="L50" i="2"/>
  <c r="J40" i="2"/>
  <c r="K29" i="2"/>
  <c r="L18" i="2"/>
  <c r="J8" i="2"/>
  <c r="K40" i="2"/>
  <c r="K82" i="2"/>
  <c r="L71" i="2"/>
  <c r="J61" i="2"/>
  <c r="K50" i="2"/>
  <c r="L39" i="2"/>
  <c r="J29" i="2"/>
  <c r="K18" i="2"/>
  <c r="L7" i="2"/>
  <c r="J82" i="2"/>
  <c r="K71" i="2"/>
  <c r="L60" i="2"/>
  <c r="J50" i="2"/>
  <c r="K39" i="2"/>
  <c r="L28" i="2"/>
  <c r="J18" i="2"/>
  <c r="K7" i="2"/>
  <c r="L61" i="2"/>
  <c r="L29" i="2"/>
  <c r="L81" i="2"/>
  <c r="J71" i="2"/>
  <c r="K60" i="2"/>
  <c r="L49" i="2"/>
  <c r="J39" i="2"/>
  <c r="K28" i="2"/>
  <c r="L17" i="2"/>
  <c r="J7" i="2"/>
  <c r="K72" i="2"/>
  <c r="J51" i="2"/>
  <c r="J19" i="2"/>
  <c r="K81" i="2"/>
  <c r="L70" i="2"/>
  <c r="J60" i="2"/>
  <c r="K49" i="2"/>
  <c r="L38" i="2"/>
  <c r="J28" i="2"/>
  <c r="K17" i="2"/>
  <c r="L6" i="2"/>
  <c r="J81" i="2"/>
  <c r="K70" i="2"/>
  <c r="L59" i="2"/>
  <c r="J49" i="2"/>
  <c r="K38" i="2"/>
  <c r="L27" i="2"/>
  <c r="J17" i="2"/>
  <c r="K6" i="2"/>
  <c r="L80" i="2"/>
  <c r="J70" i="2"/>
  <c r="K59" i="2"/>
  <c r="L48" i="2"/>
  <c r="J38" i="2"/>
  <c r="K27" i="2"/>
  <c r="L16" i="2"/>
  <c r="J6" i="2"/>
  <c r="K80" i="2"/>
  <c r="L69" i="2"/>
  <c r="J59" i="2"/>
  <c r="K48" i="2"/>
  <c r="L37" i="2"/>
  <c r="J27" i="2"/>
  <c r="K16" i="2"/>
  <c r="L5" i="2"/>
  <c r="J80" i="2"/>
  <c r="K69" i="2"/>
  <c r="L58" i="2"/>
  <c r="J48" i="2"/>
  <c r="K37" i="2"/>
  <c r="L26" i="2"/>
  <c r="J16" i="2"/>
  <c r="K5" i="2"/>
  <c r="L79" i="2"/>
  <c r="J69" i="2"/>
  <c r="K58" i="2"/>
  <c r="L47" i="2"/>
  <c r="J37" i="2"/>
  <c r="K26" i="2"/>
  <c r="L15" i="2"/>
  <c r="J5" i="2"/>
  <c r="K79" i="2"/>
  <c r="L68" i="2"/>
  <c r="J58" i="2"/>
  <c r="K47" i="2"/>
  <c r="L36" i="2"/>
  <c r="J26" i="2"/>
  <c r="K15" i="2"/>
  <c r="L4" i="2"/>
  <c r="J79" i="2"/>
  <c r="K68" i="2"/>
  <c r="L57" i="2"/>
  <c r="J47" i="2"/>
  <c r="K36" i="2"/>
  <c r="L25" i="2"/>
  <c r="J15" i="2"/>
  <c r="K4" i="2"/>
  <c r="L78" i="2"/>
  <c r="J68" i="2"/>
  <c r="K57" i="2"/>
  <c r="L46" i="2"/>
  <c r="J36" i="2"/>
  <c r="K25" i="2"/>
  <c r="L14" i="2"/>
  <c r="J4" i="2"/>
  <c r="K78" i="2"/>
  <c r="L67" i="2"/>
  <c r="J57" i="2"/>
  <c r="K46" i="2"/>
  <c r="L35" i="2"/>
  <c r="J25" i="2"/>
  <c r="K14" i="2"/>
  <c r="L3" i="2"/>
  <c r="J78" i="2"/>
  <c r="K67" i="2"/>
  <c r="L56" i="2"/>
  <c r="J46" i="2"/>
  <c r="K35" i="2"/>
  <c r="L24" i="2"/>
  <c r="J14" i="2"/>
  <c r="K3" i="2"/>
  <c r="L77" i="2"/>
  <c r="J67" i="2"/>
  <c r="K56" i="2"/>
  <c r="L45" i="2"/>
  <c r="J35" i="2"/>
  <c r="K24" i="2"/>
  <c r="L13" i="2"/>
  <c r="J3" i="2"/>
  <c r="K77" i="2"/>
  <c r="L66" i="2"/>
  <c r="J56" i="2"/>
  <c r="K45" i="2"/>
  <c r="L34" i="2"/>
  <c r="J24" i="2"/>
  <c r="K13" i="2"/>
  <c r="J77" i="2"/>
  <c r="K66" i="2"/>
  <c r="L55" i="2"/>
  <c r="J45" i="2"/>
  <c r="K34" i="2"/>
  <c r="L23" i="2"/>
  <c r="J13" i="2"/>
  <c r="L76" i="2"/>
  <c r="J66" i="2"/>
  <c r="K55" i="2"/>
  <c r="L44" i="2"/>
  <c r="J34" i="2"/>
  <c r="K23" i="2"/>
  <c r="L12" i="2"/>
  <c r="O57" i="2" a="1"/>
  <c r="O66" i="2" a="1"/>
  <c r="O32" i="2" a="1"/>
  <c r="O59" i="2" a="1"/>
  <c r="O82" i="2" a="1"/>
  <c r="O50" i="2" a="1"/>
  <c r="O18" i="2" a="1"/>
  <c r="O75" i="2" a="1"/>
  <c r="O11" i="2" a="1"/>
  <c r="O74" i="2" a="1"/>
  <c r="O72" i="2" a="1"/>
  <c r="O40" i="2" a="1"/>
  <c r="O71" i="2" a="1"/>
  <c r="O39" i="2" a="1"/>
  <c r="O69" i="2" a="1"/>
  <c r="O37" i="2" a="1"/>
  <c r="O34" i="2" a="1"/>
  <c r="O65" i="2" a="1"/>
  <c r="O33" i="2" a="1"/>
  <c r="O61" i="2" a="1"/>
  <c r="O52" i="2" a="1"/>
  <c r="O20" i="2" a="1"/>
  <c r="O60" i="2" a="1"/>
  <c r="O28" i="2" a="1"/>
  <c r="O27" i="2" a="1"/>
  <c r="O58" i="2" a="1"/>
  <c r="O26" i="2" a="1"/>
  <c r="O25" i="2" a="1"/>
  <c r="O70" i="2" a="1"/>
  <c r="O38" i="2" a="1"/>
  <c r="O6" i="2" a="1"/>
  <c r="O67" i="2" a="1"/>
  <c r="O35" i="2" a="1"/>
  <c r="O53" i="2" a="1"/>
  <c r="O21" i="2" a="1"/>
  <c r="O56" i="2" a="1"/>
  <c r="O24" i="2" a="1"/>
  <c r="O23" i="2" a="1"/>
  <c r="O49" i="2" a="1"/>
  <c r="O17" i="2" a="1"/>
  <c r="O80" i="2" a="1"/>
  <c r="O48" i="2" a="1"/>
  <c r="O16" i="2" a="1"/>
  <c r="O79" i="2" a="1"/>
  <c r="O47" i="2" a="1"/>
  <c r="O15" i="2" a="1"/>
  <c r="O45" i="2" a="1"/>
  <c r="O13" i="2" a="1"/>
  <c r="O77" i="2" a="1"/>
  <c r="O76" i="2" a="1"/>
  <c r="O44" i="2" a="1"/>
  <c r="O12" i="2" a="1"/>
  <c r="O43" i="2" a="1"/>
  <c r="O42" i="2" a="1"/>
  <c r="O10" i="2" a="1"/>
  <c r="O29" i="2" a="1"/>
  <c r="O73" i="2" a="1"/>
  <c r="O41" i="2" a="1"/>
  <c r="O9" i="2" a="1"/>
  <c r="O8" i="2" a="1"/>
  <c r="CJ169" i="2" l="1"/>
  <c r="CJ166" i="2" s="1" a="1"/>
  <c r="CJ166" i="2" s="1"/>
  <c r="CQ178" i="2"/>
  <c r="BE169" i="2"/>
  <c r="X169" i="2"/>
  <c r="BF169" i="2"/>
  <c r="Y169" i="2"/>
  <c r="CS178" i="2"/>
  <c r="BG169" i="2"/>
  <c r="Z169" i="2"/>
  <c r="BH169" i="2"/>
  <c r="AA169" i="2"/>
  <c r="CU178" i="2"/>
  <c r="AB169" i="2"/>
  <c r="BJ169" i="2"/>
  <c r="CW178" i="2"/>
  <c r="AD169" i="2"/>
  <c r="AL169" i="2"/>
  <c r="AP169" i="2"/>
  <c r="Q169" i="2"/>
  <c r="CD169" i="2"/>
  <c r="CD166" i="2" s="1" a="1"/>
  <c r="CD166" i="2" s="1"/>
  <c r="S169" i="2"/>
  <c r="BB169" i="2"/>
  <c r="BD169" i="2"/>
  <c r="CK169" i="2"/>
  <c r="CK166" i="2" s="1" a="1"/>
  <c r="CK166" i="2" s="1"/>
  <c r="CR178" i="2"/>
  <c r="CT178" i="2"/>
  <c r="BI169" i="2"/>
  <c r="CV178" i="2"/>
  <c r="AE169" i="2"/>
  <c r="DA169" i="2"/>
  <c r="DA166" i="2" s="1" a="1"/>
  <c r="DA166" i="2" s="1"/>
  <c r="AQ169" i="2"/>
  <c r="CL169" i="2"/>
  <c r="CL166" i="2" s="1" a="1"/>
  <c r="CL166" i="2" s="1"/>
  <c r="AC169" i="2"/>
  <c r="BL169" i="2"/>
  <c r="CD178" i="2"/>
  <c r="AV169" i="2"/>
  <c r="CK178" i="2"/>
  <c r="CN178" i="2"/>
  <c r="W169" i="2"/>
  <c r="CM169" i="2"/>
  <c r="CM166" i="2" s="1" a="1"/>
  <c r="CM166" i="2" s="1"/>
  <c r="CI178" i="2"/>
  <c r="CF169" i="2"/>
  <c r="CF166" i="2" s="1" a="1"/>
  <c r="CF166" i="2" s="1"/>
  <c r="V169" i="2"/>
  <c r="CN169" i="2"/>
  <c r="CN166" i="2" s="1" a="1"/>
  <c r="CN166" i="2" s="1"/>
  <c r="CO169" i="2"/>
  <c r="CO166" i="2" s="1" a="1"/>
  <c r="CO166" i="2" s="1"/>
  <c r="CE178" i="2"/>
  <c r="CC169" i="2"/>
  <c r="R169" i="2"/>
  <c r="BA169" i="2"/>
  <c r="CP169" i="2"/>
  <c r="CP166" i="2" s="1" a="1"/>
  <c r="CP166" i="2" s="1"/>
  <c r="BK169" i="2"/>
  <c r="BY169" i="2"/>
  <c r="CA169" i="2"/>
  <c r="CJ178" i="2"/>
  <c r="CM178" i="2"/>
  <c r="CQ169" i="2"/>
  <c r="CQ166" i="2" s="1" a="1"/>
  <c r="CQ166" i="2" s="1"/>
  <c r="CX178" i="2"/>
  <c r="AS169" i="2"/>
  <c r="CH178" i="2"/>
  <c r="AX169" i="2"/>
  <c r="CE169" i="2"/>
  <c r="CE166" i="2" s="1" a="1"/>
  <c r="CE166" i="2" s="1"/>
  <c r="U169" i="2"/>
  <c r="CR169" i="2"/>
  <c r="CR166" i="2" s="1" a="1"/>
  <c r="CR166" i="2" s="1"/>
  <c r="CY178" i="2"/>
  <c r="BM169" i="2"/>
  <c r="AF169" i="2"/>
  <c r="CZ178" i="2"/>
  <c r="BN169" i="2"/>
  <c r="AG169" i="2"/>
  <c r="CW169" i="2"/>
  <c r="CW166" i="2" s="1" a="1"/>
  <c r="CW166" i="2" s="1"/>
  <c r="CS169" i="2"/>
  <c r="CS166" i="2" s="1" a="1"/>
  <c r="CS166" i="2" s="1"/>
  <c r="CB169" i="2"/>
  <c r="CT169" i="2"/>
  <c r="CT166" i="2" s="1" a="1"/>
  <c r="CT166" i="2" s="1"/>
  <c r="DA178" i="2"/>
  <c r="BO169" i="2"/>
  <c r="AH169" i="2"/>
  <c r="DB178" i="2"/>
  <c r="BP169" i="2"/>
  <c r="AI169" i="2"/>
  <c r="CV169" i="2"/>
  <c r="CV166" i="2" s="1" a="1"/>
  <c r="CV166" i="2" s="1"/>
  <c r="AK169" i="2"/>
  <c r="BQ169" i="2"/>
  <c r="AJ169" i="2"/>
  <c r="BR169" i="2"/>
  <c r="BV169" i="2"/>
  <c r="AR169" i="2"/>
  <c r="CG178" i="2"/>
  <c r="AW169" i="2"/>
  <c r="AY169" i="2"/>
  <c r="AZ169" i="2"/>
  <c r="CG169" i="2"/>
  <c r="CG166" i="2" s="1" a="1"/>
  <c r="CG166" i="2" s="1"/>
  <c r="CU169" i="2"/>
  <c r="CU166" i="2" s="1" a="1"/>
  <c r="CU166" i="2" s="1"/>
  <c r="DB169" i="2"/>
  <c r="DB166" i="2" s="1" a="1"/>
  <c r="DB166" i="2" s="1"/>
  <c r="BX169" i="2"/>
  <c r="BZ169" i="2"/>
  <c r="BC169" i="2"/>
  <c r="CX169" i="2"/>
  <c r="CX166" i="2" s="1" a="1"/>
  <c r="CX166" i="2" s="1"/>
  <c r="AM169" i="2"/>
  <c r="BS169" i="2"/>
  <c r="CY169" i="2"/>
  <c r="CY166" i="2" s="1" a="1"/>
  <c r="CY166" i="2" s="1"/>
  <c r="AN169" i="2"/>
  <c r="BT169" i="2"/>
  <c r="CZ169" i="2"/>
  <c r="CZ166" i="2" s="1" a="1"/>
  <c r="CZ166" i="2" s="1"/>
  <c r="AO169" i="2"/>
  <c r="BU169" i="2"/>
  <c r="BW169" i="2"/>
  <c r="AT169" i="2"/>
  <c r="AU169" i="2"/>
  <c r="CP178" i="2"/>
  <c r="CF178" i="2"/>
  <c r="CL178" i="2"/>
  <c r="T169" i="2"/>
  <c r="CH169" i="2"/>
  <c r="CH166" i="2" s="1" a="1"/>
  <c r="CH166" i="2" s="1"/>
  <c r="CO178" i="2"/>
  <c r="CI169" i="2"/>
  <c r="CI166" i="2" s="1" a="1"/>
  <c r="CI166" i="2" s="1"/>
  <c r="AK178" i="2"/>
  <c r="BQ178" i="2"/>
  <c r="BS178" i="2"/>
  <c r="AO178" i="2"/>
  <c r="BU178" i="2"/>
  <c r="BV178" i="2"/>
  <c r="AQ178" i="2"/>
  <c r="P178" i="2"/>
  <c r="AS178" i="2"/>
  <c r="AU178" i="2"/>
  <c r="CB178" i="2"/>
  <c r="CC178" i="2"/>
  <c r="W178" i="2"/>
  <c r="AZ178" i="2"/>
  <c r="BA178" i="2"/>
  <c r="BC178" i="2"/>
  <c r="BE178" i="2"/>
  <c r="BG178" i="2"/>
  <c r="AF178" i="2"/>
  <c r="AG178" i="2"/>
  <c r="BJ178" i="2"/>
  <c r="BL178" i="2"/>
  <c r="BP178" i="2"/>
  <c r="AL178" i="2"/>
  <c r="BR178" i="2"/>
  <c r="BT178" i="2"/>
  <c r="AP178" i="2"/>
  <c r="BW178" i="2"/>
  <c r="BX178" i="2"/>
  <c r="BY178" i="2"/>
  <c r="AT178" i="2"/>
  <c r="CA178" i="2"/>
  <c r="AW178" i="2"/>
  <c r="AY178" i="2"/>
  <c r="Y178" i="2"/>
  <c r="BI178" i="2"/>
  <c r="BK178" i="2"/>
  <c r="BO178" i="2"/>
  <c r="AM178" i="2"/>
  <c r="AR178" i="2"/>
  <c r="R178" i="2"/>
  <c r="BZ178" i="2"/>
  <c r="T178" i="2"/>
  <c r="U178" i="2"/>
  <c r="V178" i="2"/>
  <c r="X178" i="2"/>
  <c r="Z178" i="2"/>
  <c r="BD178" i="2"/>
  <c r="BF178" i="2"/>
  <c r="BH178" i="2"/>
  <c r="AH178" i="2"/>
  <c r="AJ178" i="2"/>
  <c r="AN178" i="2"/>
  <c r="Q178" i="2"/>
  <c r="S178" i="2"/>
  <c r="AV178" i="2"/>
  <c r="AX178" i="2"/>
  <c r="BB178" i="2"/>
  <c r="AA178" i="2"/>
  <c r="AB178" i="2"/>
  <c r="AC178" i="2"/>
  <c r="AD178" i="2"/>
  <c r="AE178" i="2"/>
  <c r="AI178" i="2"/>
  <c r="BN178" i="2"/>
  <c r="BM178" i="2"/>
  <c r="O14" i="2"/>
  <c r="O46" i="2"/>
  <c r="O78" i="2"/>
  <c r="O22" i="2"/>
  <c r="O54" i="2"/>
  <c r="O55" i="2"/>
  <c r="O31" i="2"/>
  <c r="O63" i="2"/>
  <c r="O81" i="2"/>
  <c r="O30" i="2"/>
  <c r="O62" i="2"/>
  <c r="O64" i="2"/>
  <c r="P169" i="2"/>
  <c r="O37" i="2"/>
  <c r="O79" i="2"/>
  <c r="O72" i="2"/>
  <c r="O45" i="2"/>
  <c r="O74" i="2"/>
  <c r="O16" i="2"/>
  <c r="O39" i="2"/>
  <c r="O48" i="2"/>
  <c r="O11" i="2"/>
  <c r="O56" i="2"/>
  <c r="O49" i="2"/>
  <c r="O66" i="2"/>
  <c r="O50" i="2"/>
  <c r="O57" i="2"/>
  <c r="O38" i="2"/>
  <c r="O15" i="2"/>
  <c r="O71" i="2"/>
  <c r="O53" i="2"/>
  <c r="O70" i="2"/>
  <c r="O40" i="2"/>
  <c r="O17" i="2"/>
  <c r="O25" i="2"/>
  <c r="O18" i="2"/>
  <c r="O26" i="2"/>
  <c r="O58" i="2"/>
  <c r="O35" i="2"/>
  <c r="O27" i="2"/>
  <c r="O47" i="2"/>
  <c r="O75" i="2"/>
  <c r="O28" i="2"/>
  <c r="O80" i="2"/>
  <c r="O23" i="2"/>
  <c r="O60" i="2"/>
  <c r="O69" i="2"/>
  <c r="O24" i="2"/>
  <c r="O32" i="2"/>
  <c r="O20" i="2"/>
  <c r="O67" i="2"/>
  <c r="O73" i="2"/>
  <c r="O43" i="2"/>
  <c r="O52" i="2"/>
  <c r="O21" i="2"/>
  <c r="O9" i="2"/>
  <c r="O12" i="2"/>
  <c r="O61" i="2"/>
  <c r="O29" i="2"/>
  <c r="O44" i="2"/>
  <c r="O33" i="2"/>
  <c r="O76" i="2"/>
  <c r="O65" i="2"/>
  <c r="O82" i="2"/>
  <c r="O6" i="2"/>
  <c r="O42" i="2"/>
  <c r="O77" i="2"/>
  <c r="O34" i="2"/>
  <c r="O59" i="2"/>
  <c r="O8" i="2"/>
  <c r="O41" i="2"/>
  <c r="O10" i="2"/>
  <c r="O13" i="2"/>
  <c r="O7" i="2" l="1" a="1"/>
  <c r="O7" i="2" l="1"/>
  <c r="O5" i="2" a="1"/>
  <c r="P84" i="2" l="1" a="1"/>
  <c r="O5" i="2"/>
  <c r="CD167" i="2" l="1" a="1"/>
  <c r="CD167" i="2" s="1"/>
  <c r="CT167" i="2" a="1"/>
  <c r="CT167" i="2" s="1"/>
  <c r="CK168" i="2" a="1"/>
  <c r="CK168" i="2" s="1"/>
  <c r="DA168" i="2" a="1"/>
  <c r="DA168" i="2" s="1"/>
  <c r="CP175" i="2" a="1"/>
  <c r="CP175" i="2" s="1"/>
  <c r="CG176" i="2" a="1"/>
  <c r="CG176" i="2" s="1"/>
  <c r="CW176" i="2" a="1"/>
  <c r="CW176" i="2" s="1"/>
  <c r="CN177" i="2" a="1"/>
  <c r="CN177" i="2" s="1"/>
  <c r="CN190" i="2" s="1"/>
  <c r="CN194" i="2" s="1"/>
  <c r="DB168" i="2" a="1"/>
  <c r="DB168" i="2" s="1"/>
  <c r="CH176" i="2" a="1"/>
  <c r="CH176" i="2" s="1"/>
  <c r="CO177" i="2" a="1"/>
  <c r="CO177" i="2" s="1"/>
  <c r="CO190" i="2" s="1"/>
  <c r="CO194" i="2" s="1"/>
  <c r="CZ176" i="2" a="1"/>
  <c r="CZ176" i="2" s="1"/>
  <c r="DB176" i="2" a="1"/>
  <c r="DB176" i="2" s="1"/>
  <c r="DB177" i="2" a="1"/>
  <c r="DB177" i="2" s="1"/>
  <c r="DB190" i="2" s="1"/>
  <c r="DB194" i="2" s="1"/>
  <c r="CE167" i="2" a="1"/>
  <c r="CE167" i="2" s="1"/>
  <c r="CU167" i="2" a="1"/>
  <c r="CU167" i="2" s="1"/>
  <c r="CL168" i="2" a="1"/>
  <c r="CL168" i="2" s="1"/>
  <c r="CQ175" i="2" a="1"/>
  <c r="CQ175" i="2" s="1"/>
  <c r="CX176" i="2" a="1"/>
  <c r="CX176" i="2" s="1"/>
  <c r="CQ177" i="2" a="1"/>
  <c r="CQ177" i="2" s="1"/>
  <c r="CQ190" i="2" s="1"/>
  <c r="CQ194" i="2" s="1"/>
  <c r="CS177" i="2" a="1"/>
  <c r="CS177" i="2" s="1"/>
  <c r="CS190" i="2" s="1"/>
  <c r="CS194" i="2" s="1"/>
  <c r="CR175" i="2" a="1"/>
  <c r="CR175" i="2" s="1"/>
  <c r="CP177" i="2" a="1"/>
  <c r="CP177" i="2" s="1"/>
  <c r="CP190" i="2" s="1"/>
  <c r="CP194" i="2" s="1"/>
  <c r="CR177" i="2" a="1"/>
  <c r="CR177" i="2" s="1"/>
  <c r="CR190" i="2" s="1"/>
  <c r="CR194" i="2" s="1"/>
  <c r="CF167" i="2" a="1"/>
  <c r="CF167" i="2" s="1"/>
  <c r="CV167" i="2" a="1"/>
  <c r="CV167" i="2" s="1"/>
  <c r="CM168" i="2" a="1"/>
  <c r="CM168" i="2" s="1"/>
  <c r="CI176" i="2" a="1"/>
  <c r="CI176" i="2" s="1"/>
  <c r="CY176" i="2" a="1"/>
  <c r="CY176" i="2" s="1"/>
  <c r="CK176" i="2" a="1"/>
  <c r="CK176" i="2" s="1"/>
  <c r="CT177" i="2" a="1"/>
  <c r="CT177" i="2" s="1"/>
  <c r="CT190" i="2" s="1"/>
  <c r="CT194" i="2" s="1"/>
  <c r="CW167" i="2" a="1"/>
  <c r="CW167" i="2" s="1"/>
  <c r="CJ176" i="2" a="1"/>
  <c r="CJ176" i="2" s="1"/>
  <c r="DA176" i="2" a="1"/>
  <c r="DA176" i="2" s="1"/>
  <c r="CD177" i="2" a="1"/>
  <c r="CD177" i="2" s="1"/>
  <c r="CD190" i="2" s="1"/>
  <c r="CD194" i="2" s="1"/>
  <c r="CG167" i="2" a="1"/>
  <c r="CG167" i="2" s="1"/>
  <c r="CN168" i="2" a="1"/>
  <c r="CN168" i="2" s="1"/>
  <c r="CS175" i="2" a="1"/>
  <c r="CS175" i="2" s="1"/>
  <c r="CO168" i="2" a="1"/>
  <c r="CO168" i="2" s="1"/>
  <c r="CT175" i="2" a="1"/>
  <c r="CT175" i="2" s="1"/>
  <c r="CH167" i="2" a="1"/>
  <c r="CH167" i="2" s="1"/>
  <c r="CX167" i="2" a="1"/>
  <c r="CX167" i="2" s="1"/>
  <c r="CD175" i="2" a="1"/>
  <c r="CD175" i="2" s="1"/>
  <c r="CP168" i="2" a="1"/>
  <c r="CP168" i="2" s="1"/>
  <c r="CU175" i="2" a="1"/>
  <c r="CU175" i="2" s="1"/>
  <c r="CI167" i="2" a="1"/>
  <c r="CI167" i="2" s="1"/>
  <c r="CY167" i="2" a="1"/>
  <c r="CY167" i="2" s="1"/>
  <c r="CE175" i="2" a="1"/>
  <c r="CE175" i="2" s="1"/>
  <c r="CL176" i="2" a="1"/>
  <c r="CL176" i="2" s="1"/>
  <c r="CQ168" i="2" a="1"/>
  <c r="CQ168" i="2" s="1"/>
  <c r="CJ167" i="2" a="1"/>
  <c r="CJ167" i="2" s="1"/>
  <c r="CZ167" i="2" a="1"/>
  <c r="CZ167" i="2" s="1"/>
  <c r="CF175" i="2" a="1"/>
  <c r="CF175" i="2" s="1"/>
  <c r="CV175" i="2" a="1"/>
  <c r="CV175" i="2" s="1"/>
  <c r="CM176" i="2" a="1"/>
  <c r="CM176" i="2" s="1"/>
  <c r="CW175" i="2" a="1"/>
  <c r="CW175" i="2" s="1"/>
  <c r="DA177" i="2" a="1"/>
  <c r="DA177" i="2" s="1"/>
  <c r="DA190" i="2" s="1"/>
  <c r="DA194" i="2" s="1"/>
  <c r="CK167" i="2" a="1"/>
  <c r="CK167" i="2" s="1"/>
  <c r="DA167" i="2" a="1"/>
  <c r="DA167" i="2" s="1"/>
  <c r="CR168" i="2" a="1"/>
  <c r="CR168" i="2" s="1"/>
  <c r="CG175" i="2" a="1"/>
  <c r="CG175" i="2" s="1"/>
  <c r="CN176" i="2" a="1"/>
  <c r="CN176" i="2" s="1"/>
  <c r="CE177" i="2" a="1"/>
  <c r="CE177" i="2" s="1"/>
  <c r="CE190" i="2" s="1"/>
  <c r="CE194" i="2" s="1"/>
  <c r="CU177" i="2" a="1"/>
  <c r="CU177" i="2" s="1"/>
  <c r="CU190" i="2" s="1"/>
  <c r="CU194" i="2" s="1"/>
  <c r="CY177" i="2" a="1"/>
  <c r="CY177" i="2" s="1"/>
  <c r="CY190" i="2" s="1"/>
  <c r="CY194" i="2" s="1"/>
  <c r="DB167" i="2" a="1"/>
  <c r="DB167" i="2" s="1"/>
  <c r="CH175" i="2" a="1"/>
  <c r="CH175" i="2" s="1"/>
  <c r="CO176" i="2" a="1"/>
  <c r="CO176" i="2" s="1"/>
  <c r="CZ175" i="2" a="1"/>
  <c r="CZ175" i="2" s="1"/>
  <c r="CI177" i="2" a="1"/>
  <c r="CI177" i="2" s="1"/>
  <c r="CI190" i="2" s="1"/>
  <c r="CI194" i="2" s="1"/>
  <c r="CL167" i="2" a="1"/>
  <c r="CL167" i="2" s="1"/>
  <c r="CS168" i="2" a="1"/>
  <c r="CS168" i="2" s="1"/>
  <c r="CX175" i="2" a="1"/>
  <c r="CX175" i="2" s="1"/>
  <c r="CF177" i="2" a="1"/>
  <c r="CF177" i="2" s="1"/>
  <c r="CF190" i="2" s="1"/>
  <c r="CF194" i="2" s="1"/>
  <c r="CV177" i="2" a="1"/>
  <c r="CV177" i="2" s="1"/>
  <c r="CV190" i="2" s="1"/>
  <c r="CV194" i="2" s="1"/>
  <c r="CQ176" i="2" a="1"/>
  <c r="CQ176" i="2" s="1"/>
  <c r="CR176" i="2" a="1"/>
  <c r="CR176" i="2" s="1"/>
  <c r="CT176" i="2" a="1"/>
  <c r="CT176" i="2" s="1"/>
  <c r="CT168" i="2" a="1"/>
  <c r="CT168" i="2" s="1"/>
  <c r="CP176" i="2" a="1"/>
  <c r="CP176" i="2" s="1"/>
  <c r="CW177" i="2" a="1"/>
  <c r="CW177" i="2" s="1"/>
  <c r="CW190" i="2" s="1"/>
  <c r="CW194" i="2" s="1"/>
  <c r="CX177" i="2" a="1"/>
  <c r="CX177" i="2" s="1"/>
  <c r="CX190" i="2" s="1"/>
  <c r="CX194" i="2" s="1"/>
  <c r="CD176" i="2" a="1"/>
  <c r="CD176" i="2" s="1"/>
  <c r="CM167" i="2" a="1"/>
  <c r="CM167" i="2" s="1"/>
  <c r="CD168" i="2" a="1"/>
  <c r="CD168" i="2" s="1"/>
  <c r="CI175" i="2" a="1"/>
  <c r="CI175" i="2" s="1"/>
  <c r="CY175" i="2" a="1"/>
  <c r="CY175" i="2" s="1"/>
  <c r="CG177" i="2" a="1"/>
  <c r="CG177" i="2" s="1"/>
  <c r="CG190" i="2" s="1"/>
  <c r="CG194" i="2" s="1"/>
  <c r="CH177" i="2" a="1"/>
  <c r="CH177" i="2" s="1"/>
  <c r="CH190" i="2" s="1"/>
  <c r="CH194" i="2" s="1"/>
  <c r="CK177" i="2" a="1"/>
  <c r="CK177" i="2" s="1"/>
  <c r="CK190" i="2" s="1"/>
  <c r="CK194" i="2" s="1"/>
  <c r="CE168" i="2" a="1"/>
  <c r="CE168" i="2" s="1"/>
  <c r="CJ175" i="2" a="1"/>
  <c r="CJ175" i="2" s="1"/>
  <c r="CN167" i="2" a="1"/>
  <c r="CN167" i="2" s="1"/>
  <c r="CU168" i="2" a="1"/>
  <c r="CU168" i="2" s="1"/>
  <c r="CV168" i="2" a="1"/>
  <c r="CV168" i="2" s="1"/>
  <c r="DA175" i="2" a="1"/>
  <c r="DA175" i="2" s="1"/>
  <c r="CO167" i="2" a="1"/>
  <c r="CO167" i="2" s="1"/>
  <c r="CF168" i="2" a="1"/>
  <c r="CF168" i="2" s="1"/>
  <c r="CK175" i="2" a="1"/>
  <c r="CK175" i="2" s="1"/>
  <c r="CG168" i="2" a="1"/>
  <c r="CG168" i="2" s="1"/>
  <c r="DB175" i="2" a="1"/>
  <c r="DB175" i="2" s="1"/>
  <c r="CJ177" i="2" a="1"/>
  <c r="CJ177" i="2" s="1"/>
  <c r="CJ190" i="2" s="1"/>
  <c r="CJ194" i="2" s="1"/>
  <c r="CM177" i="2" a="1"/>
  <c r="CM177" i="2" s="1"/>
  <c r="CM190" i="2" s="1"/>
  <c r="CM194" i="2" s="1"/>
  <c r="CP167" i="2" a="1"/>
  <c r="CP167" i="2" s="1"/>
  <c r="CW168" i="2" a="1"/>
  <c r="CW168" i="2" s="1"/>
  <c r="CL175" i="2" a="1"/>
  <c r="CL175" i="2" s="1"/>
  <c r="CS176" i="2" a="1"/>
  <c r="CS176" i="2" s="1"/>
  <c r="CZ177" i="2" a="1"/>
  <c r="CZ177" i="2" s="1"/>
  <c r="CZ190" i="2" s="1"/>
  <c r="CZ194" i="2" s="1"/>
  <c r="CV176" i="2" a="1"/>
  <c r="CV176" i="2" s="1"/>
  <c r="CX168" i="2" a="1"/>
  <c r="CX168" i="2" s="1"/>
  <c r="CQ167" i="2" a="1"/>
  <c r="CQ167" i="2" s="1"/>
  <c r="CH168" i="2" a="1"/>
  <c r="CH168" i="2" s="1"/>
  <c r="CM175" i="2" a="1"/>
  <c r="CM175" i="2" s="1"/>
  <c r="CY168" i="2" a="1"/>
  <c r="CY168" i="2" s="1"/>
  <c r="CU176" i="2" a="1"/>
  <c r="CU176" i="2" s="1"/>
  <c r="CR167" i="2" a="1"/>
  <c r="CR167" i="2" s="1"/>
  <c r="CI168" i="2" a="1"/>
  <c r="CI168" i="2" s="1"/>
  <c r="CN175" i="2" a="1"/>
  <c r="CN175" i="2" s="1"/>
  <c r="CE176" i="2" a="1"/>
  <c r="CE176" i="2" s="1"/>
  <c r="CL177" i="2" a="1"/>
  <c r="CL177" i="2" s="1"/>
  <c r="CL190" i="2" s="1"/>
  <c r="CL194" i="2" s="1"/>
  <c r="CS167" i="2" a="1"/>
  <c r="CS167" i="2" s="1"/>
  <c r="CJ168" i="2" a="1"/>
  <c r="CJ168" i="2" s="1"/>
  <c r="CZ168" i="2" a="1"/>
  <c r="CZ168" i="2" s="1"/>
  <c r="CO175" i="2" a="1"/>
  <c r="CO175" i="2" s="1"/>
  <c r="CF176" i="2" a="1"/>
  <c r="CF176" i="2" s="1"/>
  <c r="Q166" i="2" a="1"/>
  <c r="Q166" i="2" s="1"/>
  <c r="S167" i="2" a="1"/>
  <c r="S167" i="2" s="1"/>
  <c r="T168" i="2" a="1"/>
  <c r="T168" i="2" s="1"/>
  <c r="R166" i="2" a="1"/>
  <c r="R166" i="2" s="1"/>
  <c r="S166" i="2" a="1"/>
  <c r="S166" i="2" s="1"/>
  <c r="T166" i="2" a="1"/>
  <c r="T166" i="2" s="1"/>
  <c r="Q167" i="2" a="1"/>
  <c r="Q167" i="2" s="1"/>
  <c r="R167" i="2" a="1"/>
  <c r="R167" i="2" s="1"/>
  <c r="Q168" i="2" a="1"/>
  <c r="Q168" i="2" s="1"/>
  <c r="T167" i="2" a="1"/>
  <c r="T167" i="2" s="1"/>
  <c r="R168" i="2" a="1"/>
  <c r="R168" i="2" s="1"/>
  <c r="S168" i="2" a="1"/>
  <c r="S168" i="2" s="1"/>
  <c r="U166" i="2" a="1"/>
  <c r="U166" i="2" s="1"/>
  <c r="AD167" i="2" a="1"/>
  <c r="AD167" i="2" s="1"/>
  <c r="AJ167" i="2" a="1"/>
  <c r="AJ167" i="2" s="1"/>
  <c r="AJ168" i="2" a="1"/>
  <c r="AJ168" i="2" s="1"/>
  <c r="V166" i="2" a="1"/>
  <c r="V166" i="2" s="1"/>
  <c r="AG167" i="2" a="1"/>
  <c r="AG167" i="2" s="1"/>
  <c r="AH167" i="2" a="1"/>
  <c r="AH167" i="2" s="1"/>
  <c r="AG168" i="2" a="1"/>
  <c r="AG168" i="2" s="1"/>
  <c r="AE167" i="2" a="1"/>
  <c r="AE167" i="2" s="1"/>
  <c r="AI167" i="2" a="1"/>
  <c r="AI167" i="2" s="1"/>
  <c r="AC166" i="2" a="1"/>
  <c r="AC166" i="2" s="1"/>
  <c r="W167" i="2" a="1"/>
  <c r="W167" i="2" s="1"/>
  <c r="W166" i="2" a="1"/>
  <c r="W166" i="2" s="1"/>
  <c r="AF167" i="2" a="1"/>
  <c r="AF167" i="2" s="1"/>
  <c r="Z166" i="2" a="1"/>
  <c r="Z166" i="2" s="1"/>
  <c r="W168" i="2" a="1"/>
  <c r="W168" i="2" s="1"/>
  <c r="AB168" i="2" a="1"/>
  <c r="AB168" i="2" s="1"/>
  <c r="Z167" i="2" a="1"/>
  <c r="Z167" i="2" s="1"/>
  <c r="X166" i="2" a="1"/>
  <c r="X166" i="2" s="1"/>
  <c r="Y166" i="2" a="1"/>
  <c r="Y166" i="2" s="1"/>
  <c r="X167" i="2" a="1"/>
  <c r="X167" i="2" s="1"/>
  <c r="AC168" i="2" a="1"/>
  <c r="AC168" i="2" s="1"/>
  <c r="AA166" i="2" a="1"/>
  <c r="AA166" i="2" s="1"/>
  <c r="AB166" i="2" a="1"/>
  <c r="AB166" i="2" s="1"/>
  <c r="AC167" i="2" a="1"/>
  <c r="AC167" i="2" s="1"/>
  <c r="AB167" i="2" a="1"/>
  <c r="AB167" i="2" s="1"/>
  <c r="AD168" i="2" a="1"/>
  <c r="AD168" i="2" s="1"/>
  <c r="AD166" i="2" a="1"/>
  <c r="AD166" i="2" s="1"/>
  <c r="U168" i="2" a="1"/>
  <c r="U168" i="2" s="1"/>
  <c r="V168" i="2" a="1"/>
  <c r="V168" i="2" s="1"/>
  <c r="AA168" i="2" a="1"/>
  <c r="AA168" i="2" s="1"/>
  <c r="AA167" i="2" a="1"/>
  <c r="AA167" i="2" s="1"/>
  <c r="AE166" i="2" a="1"/>
  <c r="AE166" i="2" s="1"/>
  <c r="AF166" i="2" a="1"/>
  <c r="AF166" i="2" s="1"/>
  <c r="V167" i="2" a="1"/>
  <c r="V167" i="2" s="1"/>
  <c r="Y167" i="2" a="1"/>
  <c r="Y167" i="2" s="1"/>
  <c r="AG166" i="2" a="1"/>
  <c r="AG166" i="2" s="1"/>
  <c r="X168" i="2" a="1"/>
  <c r="X168" i="2" s="1"/>
  <c r="U167" i="2" a="1"/>
  <c r="U167" i="2" s="1"/>
  <c r="AI168" i="2" a="1"/>
  <c r="AI168" i="2" s="1"/>
  <c r="AH166" i="2" a="1"/>
  <c r="AH166" i="2" s="1"/>
  <c r="Y168" i="2" a="1"/>
  <c r="Y168" i="2" s="1"/>
  <c r="AE168" i="2" a="1"/>
  <c r="AE168" i="2" s="1"/>
  <c r="AI166" i="2" a="1"/>
  <c r="AI166" i="2" s="1"/>
  <c r="Z168" i="2" a="1"/>
  <c r="Z168" i="2" s="1"/>
  <c r="AJ166" i="2" a="1"/>
  <c r="AJ166" i="2" s="1"/>
  <c r="AF168" i="2" a="1"/>
  <c r="AF168" i="2" s="1"/>
  <c r="AH168" i="2" a="1"/>
  <c r="AH168" i="2" s="1"/>
  <c r="AV166" i="2" a="1"/>
  <c r="AV166" i="2" s="1"/>
  <c r="CB168" i="2" a="1"/>
  <c r="CB168" i="2" s="1"/>
  <c r="AX167" i="2" a="1"/>
  <c r="AX167" i="2" s="1"/>
  <c r="AX173" i="2" s="1"/>
  <c r="AK168" i="2" a="1"/>
  <c r="AK168" i="2" s="1"/>
  <c r="BJ167" i="2" a="1"/>
  <c r="BJ167" i="2" s="1"/>
  <c r="BJ173" i="2" s="1"/>
  <c r="AR168" i="2" a="1"/>
  <c r="AR168" i="2" s="1"/>
  <c r="AV168" i="2" a="1"/>
  <c r="AV168" i="2" s="1"/>
  <c r="AW166" i="2" a="1"/>
  <c r="AW166" i="2" s="1"/>
  <c r="AX166" i="2" a="1"/>
  <c r="AX166" i="2" s="1"/>
  <c r="AY167" i="2" a="1"/>
  <c r="AY167" i="2" s="1"/>
  <c r="AY173" i="2" s="1"/>
  <c r="AL168" i="2" a="1"/>
  <c r="AL168" i="2" s="1"/>
  <c r="AM168" i="2" a="1"/>
  <c r="AM168" i="2" s="1"/>
  <c r="AY166" i="2" a="1"/>
  <c r="AY166" i="2" s="1"/>
  <c r="AZ167" i="2" a="1"/>
  <c r="AZ167" i="2" s="1"/>
  <c r="AZ173" i="2" s="1"/>
  <c r="AZ166" i="2" a="1"/>
  <c r="AZ166" i="2" s="1"/>
  <c r="BA167" i="2" a="1"/>
  <c r="BA167" i="2" s="1"/>
  <c r="BA173" i="2" s="1"/>
  <c r="AN168" i="2" a="1"/>
  <c r="AN168" i="2" s="1"/>
  <c r="BH167" i="2" a="1"/>
  <c r="BH167" i="2" s="1"/>
  <c r="BH173" i="2" s="1"/>
  <c r="BM166" i="2" a="1"/>
  <c r="BM166" i="2" s="1"/>
  <c r="BN166" i="2" a="1"/>
  <c r="BN166" i="2" s="1"/>
  <c r="AT168" i="2" a="1"/>
  <c r="AT168" i="2" s="1"/>
  <c r="BO166" i="2" a="1"/>
  <c r="BO166" i="2" s="1"/>
  <c r="BM167" i="2" a="1"/>
  <c r="BM167" i="2" s="1"/>
  <c r="BM173" i="2" s="1"/>
  <c r="AU168" i="2" a="1"/>
  <c r="AU168" i="2" s="1"/>
  <c r="BP166" i="2" a="1"/>
  <c r="BP166" i="2" s="1"/>
  <c r="BN167" i="2" a="1"/>
  <c r="BN167" i="2" s="1"/>
  <c r="BN173" i="2" s="1"/>
  <c r="BO167" i="2" a="1"/>
  <c r="BO167" i="2" s="1"/>
  <c r="BO173" i="2" s="1"/>
  <c r="AX168" i="2" a="1"/>
  <c r="AX168" i="2" s="1"/>
  <c r="BT166" i="2" a="1"/>
  <c r="BT166" i="2" s="1"/>
  <c r="BP167" i="2" a="1"/>
  <c r="BP167" i="2" s="1"/>
  <c r="BP173" i="2" s="1"/>
  <c r="AY168" i="2" a="1"/>
  <c r="AY168" i="2" s="1"/>
  <c r="BV166" i="2" a="1"/>
  <c r="BV166" i="2" s="1"/>
  <c r="BQ167" i="2" a="1"/>
  <c r="BQ167" i="2" s="1"/>
  <c r="BQ173" i="2" s="1"/>
  <c r="AZ168" i="2" a="1"/>
  <c r="AZ168" i="2" s="1"/>
  <c r="CA166" i="2" a="1"/>
  <c r="CA166" i="2" s="1"/>
  <c r="BV167" i="2" a="1"/>
  <c r="BV167" i="2" s="1"/>
  <c r="BV173" i="2" s="1"/>
  <c r="BA168" i="2" a="1"/>
  <c r="BA168" i="2" s="1"/>
  <c r="CB166" i="2" a="1"/>
  <c r="CB166" i="2" s="1"/>
  <c r="BX167" i="2" a="1"/>
  <c r="BX167" i="2" s="1"/>
  <c r="BX173" i="2" s="1"/>
  <c r="BB168" i="2" a="1"/>
  <c r="BB168" i="2" s="1"/>
  <c r="BP168" i="2" a="1"/>
  <c r="BP168" i="2" s="1"/>
  <c r="CC166" i="2" a="1"/>
  <c r="CC166" i="2" s="1"/>
  <c r="BZ167" i="2" a="1"/>
  <c r="BZ167" i="2" s="1"/>
  <c r="BZ173" i="2" s="1"/>
  <c r="BC168" i="2" a="1"/>
  <c r="BC168" i="2" s="1"/>
  <c r="BD168" i="2" a="1"/>
  <c r="BD168" i="2" s="1"/>
  <c r="CC167" i="2" a="1"/>
  <c r="CC167" i="2" s="1"/>
  <c r="CC173" i="2" s="1"/>
  <c r="BN168" i="2" a="1"/>
  <c r="BN168" i="2" s="1"/>
  <c r="BK168" i="2" a="1"/>
  <c r="BK168" i="2" s="1"/>
  <c r="BO168" i="2" a="1"/>
  <c r="BO168" i="2" s="1"/>
  <c r="BT168" i="2" a="1"/>
  <c r="BT168" i="2" s="1"/>
  <c r="BJ168" i="2" a="1"/>
  <c r="BJ168" i="2" s="1"/>
  <c r="BM168" i="2" a="1"/>
  <c r="BM168" i="2" s="1"/>
  <c r="BS168" i="2" a="1"/>
  <c r="BS168" i="2" s="1"/>
  <c r="BQ168" i="2" a="1"/>
  <c r="BQ168" i="2" s="1"/>
  <c r="BR168" i="2" a="1"/>
  <c r="BR168" i="2" s="1"/>
  <c r="AK167" i="2" a="1"/>
  <c r="AK167" i="2" s="1"/>
  <c r="AK173" i="2" s="1"/>
  <c r="AP167" i="2" a="1"/>
  <c r="AP167" i="2" s="1"/>
  <c r="AP173" i="2" s="1"/>
  <c r="AR167" i="2" a="1"/>
  <c r="AR167" i="2" s="1"/>
  <c r="AR173" i="2" s="1"/>
  <c r="BX168" i="2" a="1"/>
  <c r="BX168" i="2" s="1"/>
  <c r="AS167" i="2" a="1"/>
  <c r="AS167" i="2" s="1"/>
  <c r="AS173" i="2" s="1"/>
  <c r="BZ168" i="2" a="1"/>
  <c r="BZ168" i="2" s="1"/>
  <c r="AT167" i="2" a="1"/>
  <c r="AT167" i="2" s="1"/>
  <c r="AT173" i="2" s="1"/>
  <c r="CA168" i="2" a="1"/>
  <c r="CA168" i="2" s="1"/>
  <c r="CA167" i="2" a="1"/>
  <c r="CA167" i="2" s="1"/>
  <c r="CA173" i="2" s="1"/>
  <c r="BK167" i="2" a="1"/>
  <c r="BK167" i="2" s="1"/>
  <c r="BK173" i="2" s="1"/>
  <c r="BD167" i="2" a="1"/>
  <c r="BD167" i="2" s="1"/>
  <c r="BD173" i="2" s="1"/>
  <c r="BW166" i="2" a="1"/>
  <c r="BW166" i="2" s="1"/>
  <c r="AU167" i="2" a="1"/>
  <c r="AU167" i="2" s="1"/>
  <c r="AU173" i="2" s="1"/>
  <c r="BW168" i="2" a="1"/>
  <c r="BW168" i="2" s="1"/>
  <c r="AN167" i="2" a="1"/>
  <c r="AN167" i="2" s="1"/>
  <c r="AN173" i="2" s="1"/>
  <c r="AQ166" i="2" a="1"/>
  <c r="AQ166" i="2" s="1"/>
  <c r="BZ166" i="2" a="1"/>
  <c r="BZ166" i="2" s="1"/>
  <c r="BI167" i="2" a="1"/>
  <c r="BI167" i="2" s="1"/>
  <c r="BI173" i="2" s="1"/>
  <c r="BG166" i="2" a="1"/>
  <c r="BG166" i="2" s="1"/>
  <c r="AT166" i="2" a="1"/>
  <c r="AT166" i="2" s="1"/>
  <c r="BJ166" i="2" a="1"/>
  <c r="BJ166" i="2" s="1"/>
  <c r="BX166" i="2" a="1"/>
  <c r="BX166" i="2" s="1"/>
  <c r="BH168" i="2" a="1"/>
  <c r="BH168" i="2" s="1"/>
  <c r="BF166" i="2" a="1"/>
  <c r="BF166" i="2" s="1"/>
  <c r="AQ168" i="2" a="1"/>
  <c r="AQ168" i="2" s="1"/>
  <c r="BF168" i="2" a="1"/>
  <c r="BF168" i="2" s="1"/>
  <c r="AP166" i="2" a="1"/>
  <c r="AP166" i="2" s="1"/>
  <c r="AS168" i="2" a="1"/>
  <c r="AS168" i="2" s="1"/>
  <c r="AN166" i="2" a="1"/>
  <c r="AN166" i="2" s="1"/>
  <c r="BI168" i="2" a="1"/>
  <c r="BI168" i="2" s="1"/>
  <c r="BE166" i="2" a="1"/>
  <c r="BE166" i="2" s="1"/>
  <c r="BD166" i="2" a="1"/>
  <c r="BD166" i="2" s="1"/>
  <c r="AO166" i="2" a="1"/>
  <c r="AO166" i="2" s="1"/>
  <c r="AM166" i="2" a="1"/>
  <c r="AM166" i="2" s="1"/>
  <c r="BB166" i="2" a="1"/>
  <c r="BB166" i="2" s="1"/>
  <c r="BS167" i="2" a="1"/>
  <c r="BS167" i="2" s="1"/>
  <c r="BS173" i="2" s="1"/>
  <c r="BU166" i="2" a="1"/>
  <c r="BU166" i="2" s="1"/>
  <c r="BT167" i="2" a="1"/>
  <c r="BT167" i="2" s="1"/>
  <c r="BT173" i="2" s="1"/>
  <c r="BC167" i="2" a="1"/>
  <c r="BC167" i="2" s="1"/>
  <c r="BC173" i="2" s="1"/>
  <c r="AV167" i="2" a="1"/>
  <c r="AV167" i="2" s="1"/>
  <c r="AV173" i="2" s="1"/>
  <c r="AO168" i="2" a="1"/>
  <c r="AO168" i="2" s="1"/>
  <c r="BY166" i="2" a="1"/>
  <c r="BY166" i="2" s="1"/>
  <c r="BG168" i="2" a="1"/>
  <c r="BG168" i="2" s="1"/>
  <c r="BI166" i="2" a="1"/>
  <c r="BI166" i="2" s="1"/>
  <c r="AK166" i="2" a="1"/>
  <c r="AK166" i="2" s="1"/>
  <c r="BE168" i="2" a="1"/>
  <c r="BE168" i="2" s="1"/>
  <c r="AS166" i="2" a="1"/>
  <c r="AS166" i="2" s="1"/>
  <c r="CB167" i="2" a="1"/>
  <c r="CB167" i="2" s="1"/>
  <c r="CB173" i="2" s="1"/>
  <c r="BC166" i="2" a="1"/>
  <c r="BC166" i="2" s="1"/>
  <c r="BY167" i="2" a="1"/>
  <c r="BY167" i="2" s="1"/>
  <c r="BY173" i="2" s="1"/>
  <c r="BV168" i="2" a="1"/>
  <c r="BV168" i="2" s="1"/>
  <c r="BF167" i="2" a="1"/>
  <c r="BF167" i="2" s="1"/>
  <c r="BF173" i="2" s="1"/>
  <c r="AO167" i="2" a="1"/>
  <c r="AO167" i="2" s="1"/>
  <c r="AO173" i="2" s="1"/>
  <c r="AW168" i="2" a="1"/>
  <c r="AW168" i="2" s="1"/>
  <c r="AM167" i="2" a="1"/>
  <c r="AM167" i="2" s="1"/>
  <c r="AM173" i="2" s="1"/>
  <c r="AR166" i="2" a="1"/>
  <c r="AR166" i="2" s="1"/>
  <c r="BA166" i="2" a="1"/>
  <c r="BA166" i="2" s="1"/>
  <c r="AQ167" i="2" a="1"/>
  <c r="AQ167" i="2" s="1"/>
  <c r="AQ173" i="2" s="1"/>
  <c r="BU168" i="2" a="1"/>
  <c r="BU168" i="2" s="1"/>
  <c r="CC168" i="2" a="1"/>
  <c r="CC168" i="2" s="1"/>
  <c r="BS166" i="2" a="1"/>
  <c r="BS166" i="2" s="1"/>
  <c r="AW167" i="2" a="1"/>
  <c r="AW167" i="2" s="1"/>
  <c r="AW173" i="2" s="1"/>
  <c r="AL166" i="2" a="1"/>
  <c r="AL166" i="2" s="1"/>
  <c r="BG167" i="2" a="1"/>
  <c r="BG167" i="2" s="1"/>
  <c r="BG173" i="2" s="1"/>
  <c r="BR167" i="2" a="1"/>
  <c r="BR167" i="2" s="1"/>
  <c r="BR173" i="2" s="1"/>
  <c r="BL167" i="2" a="1"/>
  <c r="BL167" i="2" s="1"/>
  <c r="BL173" i="2" s="1"/>
  <c r="BL166" i="2" a="1"/>
  <c r="BL166" i="2" s="1"/>
  <c r="BB167" i="2" a="1"/>
  <c r="BB167" i="2" s="1"/>
  <c r="BB173" i="2" s="1"/>
  <c r="BY168" i="2" a="1"/>
  <c r="BY168" i="2" s="1"/>
  <c r="BE167" i="2" a="1"/>
  <c r="BE167" i="2" s="1"/>
  <c r="BE173" i="2" s="1"/>
  <c r="AL167" i="2" a="1"/>
  <c r="AL167" i="2" s="1"/>
  <c r="AL173" i="2" s="1"/>
  <c r="AP168" i="2" a="1"/>
  <c r="AP168" i="2" s="1"/>
  <c r="AU166" i="2" a="1"/>
  <c r="AU166" i="2" s="1"/>
  <c r="BR166" i="2" a="1"/>
  <c r="BR166" i="2" s="1"/>
  <c r="BW167" i="2" a="1"/>
  <c r="BW167" i="2" s="1"/>
  <c r="BW173" i="2" s="1"/>
  <c r="BH166" i="2" a="1"/>
  <c r="BH166" i="2" s="1"/>
  <c r="BU167" i="2" a="1"/>
  <c r="BU167" i="2" s="1"/>
  <c r="BU173" i="2" s="1"/>
  <c r="BQ166" i="2" a="1"/>
  <c r="BQ166" i="2" s="1"/>
  <c r="BK166" i="2" a="1"/>
  <c r="BK166" i="2" s="1"/>
  <c r="BL168" i="2" a="1"/>
  <c r="BL168" i="2" s="1"/>
  <c r="AR175" i="2" a="1"/>
  <c r="AR175" i="2" s="1"/>
  <c r="BH175" i="2" a="1"/>
  <c r="BH175" i="2" s="1"/>
  <c r="BX175" i="2" a="1"/>
  <c r="BX175" i="2" s="1"/>
  <c r="AL176" i="2" a="1"/>
  <c r="AL176" i="2" s="1"/>
  <c r="BB176" i="2" a="1"/>
  <c r="BB176" i="2" s="1"/>
  <c r="BR176" i="2" a="1"/>
  <c r="BR176" i="2" s="1"/>
  <c r="AV177" i="2" a="1"/>
  <c r="AV177" i="2" s="1"/>
  <c r="AV190" i="2" s="1"/>
  <c r="AV194" i="2" s="1"/>
  <c r="BY175" i="2" a="1"/>
  <c r="BY175" i="2" s="1"/>
  <c r="AM176" i="2" a="1"/>
  <c r="AM176" i="2" s="1"/>
  <c r="BS176" i="2" a="1"/>
  <c r="BS176" i="2" s="1"/>
  <c r="AW177" i="2" a="1"/>
  <c r="AW177" i="2" s="1"/>
  <c r="AW190" i="2" s="1"/>
  <c r="AW194" i="2" s="1"/>
  <c r="CC177" i="2" a="1"/>
  <c r="CC177" i="2" s="1"/>
  <c r="CC190" i="2" s="1"/>
  <c r="CC194" i="2" s="1"/>
  <c r="AS175" i="2" a="1"/>
  <c r="AS175" i="2" s="1"/>
  <c r="BI175" i="2" a="1"/>
  <c r="BI175" i="2" s="1"/>
  <c r="BC176" i="2" a="1"/>
  <c r="BC176" i="2" s="1"/>
  <c r="BM177" i="2" a="1"/>
  <c r="BM177" i="2" s="1"/>
  <c r="BM190" i="2" s="1"/>
  <c r="BM194" i="2" s="1"/>
  <c r="BZ175" i="2" a="1"/>
  <c r="BZ175" i="2" s="1"/>
  <c r="AN176" i="2" a="1"/>
  <c r="AN176" i="2" s="1"/>
  <c r="BT176" i="2" a="1"/>
  <c r="BT176" i="2" s="1"/>
  <c r="AX177" i="2" a="1"/>
  <c r="AX177" i="2" s="1"/>
  <c r="AX190" i="2" s="1"/>
  <c r="AX194" i="2" s="1"/>
  <c r="AT175" i="2" a="1"/>
  <c r="AT175" i="2" s="1"/>
  <c r="BJ175" i="2" a="1"/>
  <c r="BJ175" i="2" s="1"/>
  <c r="BD176" i="2" a="1"/>
  <c r="BD176" i="2" s="1"/>
  <c r="BN177" i="2" a="1"/>
  <c r="BN177" i="2" s="1"/>
  <c r="BN190" i="2" s="1"/>
  <c r="BN194" i="2" s="1"/>
  <c r="BU176" i="2" a="1"/>
  <c r="BU176" i="2" s="1"/>
  <c r="AU175" i="2" a="1"/>
  <c r="AU175" i="2" s="1"/>
  <c r="BK175" i="2" a="1"/>
  <c r="BK175" i="2" s="1"/>
  <c r="CA175" i="2" a="1"/>
  <c r="CA175" i="2" s="1"/>
  <c r="AO176" i="2" a="1"/>
  <c r="AO176" i="2" s="1"/>
  <c r="BE176" i="2" a="1"/>
  <c r="BE176" i="2" s="1"/>
  <c r="AV175" i="2" a="1"/>
  <c r="AV175" i="2" s="1"/>
  <c r="BL175" i="2" a="1"/>
  <c r="BL175" i="2" s="1"/>
  <c r="CB175" i="2" a="1"/>
  <c r="CB175" i="2" s="1"/>
  <c r="BF176" i="2" a="1"/>
  <c r="BF176" i="2" s="1"/>
  <c r="AW175" i="2" a="1"/>
  <c r="AW175" i="2" s="1"/>
  <c r="BM175" i="2" a="1"/>
  <c r="BM175" i="2" s="1"/>
  <c r="CC175" i="2" a="1"/>
  <c r="CC175" i="2" s="1"/>
  <c r="BG176" i="2" a="1"/>
  <c r="BG176" i="2" s="1"/>
  <c r="AX175" i="2" a="1"/>
  <c r="AX175" i="2" s="1"/>
  <c r="BN175" i="2" a="1"/>
  <c r="BN175" i="2" s="1"/>
  <c r="AR176" i="2" a="1"/>
  <c r="AR176" i="2" s="1"/>
  <c r="AM177" i="2" a="1"/>
  <c r="AM177" i="2" s="1"/>
  <c r="AM190" i="2" s="1"/>
  <c r="AM194" i="2" s="1"/>
  <c r="AY175" i="2" a="1"/>
  <c r="AY175" i="2" s="1"/>
  <c r="BO175" i="2" a="1"/>
  <c r="BO175" i="2" s="1"/>
  <c r="AS176" i="2" a="1"/>
  <c r="AS176" i="2" s="1"/>
  <c r="BI176" i="2" a="1"/>
  <c r="BI176" i="2" s="1"/>
  <c r="BY176" i="2" a="1"/>
  <c r="BY176" i="2" s="1"/>
  <c r="BC177" i="2" a="1"/>
  <c r="BC177" i="2" s="1"/>
  <c r="BC190" i="2" s="1"/>
  <c r="BC194" i="2" s="1"/>
  <c r="BS177" i="2" a="1"/>
  <c r="BS177" i="2" s="1"/>
  <c r="BS190" i="2" s="1"/>
  <c r="BS194" i="2" s="1"/>
  <c r="BP175" i="2" a="1"/>
  <c r="BP175" i="2" s="1"/>
  <c r="BJ176" i="2" a="1"/>
  <c r="BJ176" i="2" s="1"/>
  <c r="BZ176" i="2" a="1"/>
  <c r="BZ176" i="2" s="1"/>
  <c r="AN177" i="2" a="1"/>
  <c r="AN177" i="2" s="1"/>
  <c r="AN190" i="2" s="1"/>
  <c r="AN194" i="2" s="1"/>
  <c r="BT177" i="2" a="1"/>
  <c r="BT177" i="2" s="1"/>
  <c r="BT190" i="2" s="1"/>
  <c r="BT194" i="2" s="1"/>
  <c r="AZ175" i="2" a="1"/>
  <c r="AZ175" i="2" s="1"/>
  <c r="AT176" i="2" a="1"/>
  <c r="AT176" i="2" s="1"/>
  <c r="BD177" i="2" a="1"/>
  <c r="BD177" i="2" s="1"/>
  <c r="BD190" i="2" s="1"/>
  <c r="BD194" i="2" s="1"/>
  <c r="BQ175" i="2" a="1"/>
  <c r="BQ175" i="2" s="1"/>
  <c r="CA176" i="2" a="1"/>
  <c r="CA176" i="2" s="1"/>
  <c r="AO177" i="2" a="1"/>
  <c r="AO177" i="2" s="1"/>
  <c r="AO190" i="2" s="1"/>
  <c r="AO194" i="2" s="1"/>
  <c r="BU177" i="2" a="1"/>
  <c r="BU177" i="2" s="1"/>
  <c r="BU190" i="2" s="1"/>
  <c r="BU194" i="2" s="1"/>
  <c r="AK175" i="2" a="1"/>
  <c r="AK175" i="2" s="1"/>
  <c r="BA175" i="2" a="1"/>
  <c r="BA175" i="2" s="1"/>
  <c r="AU176" i="2" a="1"/>
  <c r="AU176" i="2" s="1"/>
  <c r="BK176" i="2" a="1"/>
  <c r="BK176" i="2" s="1"/>
  <c r="BE177" i="2" a="1"/>
  <c r="BE177" i="2" s="1"/>
  <c r="BE190" i="2" s="1"/>
  <c r="BE194" i="2" s="1"/>
  <c r="AL175" i="2" a="1"/>
  <c r="AL175" i="2" s="1"/>
  <c r="BB175" i="2" a="1"/>
  <c r="BB175" i="2" s="1"/>
  <c r="BR175" i="2" a="1"/>
  <c r="BR175" i="2" s="1"/>
  <c r="AV176" i="2" a="1"/>
  <c r="AV176" i="2" s="1"/>
  <c r="AM175" i="2" a="1"/>
  <c r="AM175" i="2" s="1"/>
  <c r="BC175" i="2" a="1"/>
  <c r="BC175" i="2" s="1"/>
  <c r="BS175" i="2" a="1"/>
  <c r="BS175" i="2" s="1"/>
  <c r="AN175" i="2" a="1"/>
  <c r="AN175" i="2" s="1"/>
  <c r="BD175" i="2" a="1"/>
  <c r="BD175" i="2" s="1"/>
  <c r="BT175" i="2" a="1"/>
  <c r="BT175" i="2" s="1"/>
  <c r="AO175" i="2" a="1"/>
  <c r="AO175" i="2" s="1"/>
  <c r="BE175" i="2" a="1"/>
  <c r="BE175" i="2" s="1"/>
  <c r="BU175" i="2" a="1"/>
  <c r="BU175" i="2" s="1"/>
  <c r="AP175" i="2" a="1"/>
  <c r="AP175" i="2" s="1"/>
  <c r="BF175" i="2" a="1"/>
  <c r="BF175" i="2" s="1"/>
  <c r="BV175" i="2" a="1"/>
  <c r="BV175" i="2" s="1"/>
  <c r="AK177" i="2" a="1"/>
  <c r="AK177" i="2" s="1"/>
  <c r="AK190" i="2" s="1"/>
  <c r="AK194" i="2" s="1"/>
  <c r="CB177" i="2" a="1"/>
  <c r="CB177" i="2" s="1"/>
  <c r="CB190" i="2" s="1"/>
  <c r="CB194" i="2" s="1"/>
  <c r="AT177" i="2" a="1"/>
  <c r="AT177" i="2" s="1"/>
  <c r="AT190" i="2" s="1"/>
  <c r="AT194" i="2" s="1"/>
  <c r="BA177" i="2" a="1"/>
  <c r="BA177" i="2" s="1"/>
  <c r="BA190" i="2" s="1"/>
  <c r="BA194" i="2" s="1"/>
  <c r="BH176" i="2" a="1"/>
  <c r="BH176" i="2" s="1"/>
  <c r="AL177" i="2" a="1"/>
  <c r="AL177" i="2" s="1"/>
  <c r="AL190" i="2" s="1"/>
  <c r="AL194" i="2" s="1"/>
  <c r="BQ176" i="2" a="1"/>
  <c r="BQ176" i="2" s="1"/>
  <c r="BL176" i="2" a="1"/>
  <c r="BL176" i="2" s="1"/>
  <c r="AP177" i="2" a="1"/>
  <c r="AP177" i="2" s="1"/>
  <c r="AP190" i="2" s="1"/>
  <c r="AP194" i="2" s="1"/>
  <c r="BP176" i="2" a="1"/>
  <c r="BP176" i="2" s="1"/>
  <c r="AZ177" i="2" a="1"/>
  <c r="AZ177" i="2" s="1"/>
  <c r="AZ190" i="2" s="1"/>
  <c r="AZ194" i="2" s="1"/>
  <c r="BM176" i="2" a="1"/>
  <c r="BM176" i="2" s="1"/>
  <c r="AQ177" i="2" a="1"/>
  <c r="AQ177" i="2" s="1"/>
  <c r="AQ190" i="2" s="1"/>
  <c r="AQ194" i="2" s="1"/>
  <c r="AS177" i="2" a="1"/>
  <c r="AS177" i="2" s="1"/>
  <c r="AS190" i="2" s="1"/>
  <c r="AS194" i="2" s="1"/>
  <c r="BN176" i="2" a="1"/>
  <c r="BN176" i="2" s="1"/>
  <c r="AR177" i="2" a="1"/>
  <c r="AR177" i="2" s="1"/>
  <c r="AR190" i="2" s="1"/>
  <c r="AR194" i="2" s="1"/>
  <c r="AU177" i="2" a="1"/>
  <c r="AU177" i="2" s="1"/>
  <c r="AU190" i="2" s="1"/>
  <c r="AU194" i="2" s="1"/>
  <c r="AY177" i="2" a="1"/>
  <c r="AY177" i="2" s="1"/>
  <c r="AY190" i="2" s="1"/>
  <c r="AY194" i="2" s="1"/>
  <c r="BB177" i="2" a="1"/>
  <c r="BB177" i="2" s="1"/>
  <c r="BB190" i="2" s="1"/>
  <c r="BB194" i="2" s="1"/>
  <c r="BO176" i="2" a="1"/>
  <c r="BO176" i="2" s="1"/>
  <c r="AY176" i="2" a="1"/>
  <c r="AY176" i="2" s="1"/>
  <c r="AQ175" i="2" a="1"/>
  <c r="AQ175" i="2" s="1"/>
  <c r="BV176" i="2" a="1"/>
  <c r="BV176" i="2" s="1"/>
  <c r="BW176" i="2" a="1"/>
  <c r="BW176" i="2" s="1"/>
  <c r="BG175" i="2" a="1"/>
  <c r="BG175" i="2" s="1"/>
  <c r="BX176" i="2" a="1"/>
  <c r="BX176" i="2" s="1"/>
  <c r="CB176" i="2" a="1"/>
  <c r="CB176" i="2" s="1"/>
  <c r="BW175" i="2" a="1"/>
  <c r="BW175" i="2" s="1"/>
  <c r="CC176" i="2" a="1"/>
  <c r="CC176" i="2" s="1"/>
  <c r="BF177" i="2" a="1"/>
  <c r="BF177" i="2" s="1"/>
  <c r="BF190" i="2" s="1"/>
  <c r="BF194" i="2" s="1"/>
  <c r="CA177" i="2" a="1"/>
  <c r="CA177" i="2" s="1"/>
  <c r="CA190" i="2" s="1"/>
  <c r="CA194" i="2" s="1"/>
  <c r="BG177" i="2" a="1"/>
  <c r="BG177" i="2" s="1"/>
  <c r="BG190" i="2" s="1"/>
  <c r="BG194" i="2" s="1"/>
  <c r="BH177" i="2" a="1"/>
  <c r="BH177" i="2" s="1"/>
  <c r="BH190" i="2" s="1"/>
  <c r="BH194" i="2" s="1"/>
  <c r="BQ177" i="2" a="1"/>
  <c r="BQ177" i="2" s="1"/>
  <c r="BQ190" i="2" s="1"/>
  <c r="BQ194" i="2" s="1"/>
  <c r="BI177" i="2" a="1"/>
  <c r="BI177" i="2" s="1"/>
  <c r="BI190" i="2" s="1"/>
  <c r="BI194" i="2" s="1"/>
  <c r="BP177" i="2" a="1"/>
  <c r="BP177" i="2" s="1"/>
  <c r="BP190" i="2" s="1"/>
  <c r="BP194" i="2" s="1"/>
  <c r="BJ177" i="2" a="1"/>
  <c r="BJ177" i="2" s="1"/>
  <c r="BJ190" i="2" s="1"/>
  <c r="BJ194" i="2" s="1"/>
  <c r="BK177" i="2" a="1"/>
  <c r="BK177" i="2" s="1"/>
  <c r="BK190" i="2" s="1"/>
  <c r="BK194" i="2" s="1"/>
  <c r="BO177" i="2" a="1"/>
  <c r="BO177" i="2" s="1"/>
  <c r="BO190" i="2" s="1"/>
  <c r="BO194" i="2" s="1"/>
  <c r="BL177" i="2" a="1"/>
  <c r="BL177" i="2" s="1"/>
  <c r="BL190" i="2" s="1"/>
  <c r="BL194" i="2" s="1"/>
  <c r="AK176" i="2" a="1"/>
  <c r="AK176" i="2" s="1"/>
  <c r="BR177" i="2" a="1"/>
  <c r="BR177" i="2" s="1"/>
  <c r="BR190" i="2" s="1"/>
  <c r="BR194" i="2" s="1"/>
  <c r="AP176" i="2" a="1"/>
  <c r="AP176" i="2" s="1"/>
  <c r="BV177" i="2" a="1"/>
  <c r="BV177" i="2" s="1"/>
  <c r="BV190" i="2" s="1"/>
  <c r="BV194" i="2" s="1"/>
  <c r="BZ177" i="2" a="1"/>
  <c r="BZ177" i="2" s="1"/>
  <c r="BZ190" i="2" s="1"/>
  <c r="BZ194" i="2" s="1"/>
  <c r="AQ176" i="2" a="1"/>
  <c r="AQ176" i="2" s="1"/>
  <c r="BW177" i="2" a="1"/>
  <c r="BW177" i="2" s="1"/>
  <c r="BW190" i="2" s="1"/>
  <c r="BW194" i="2" s="1"/>
  <c r="AW176" i="2" a="1"/>
  <c r="AW176" i="2" s="1"/>
  <c r="BX177" i="2" a="1"/>
  <c r="BX177" i="2" s="1"/>
  <c r="BX190" i="2" s="1"/>
  <c r="BX194" i="2" s="1"/>
  <c r="AX176" i="2" a="1"/>
  <c r="AX176" i="2" s="1"/>
  <c r="BY177" i="2" a="1"/>
  <c r="BY177" i="2" s="1"/>
  <c r="BY190" i="2" s="1"/>
  <c r="BY194" i="2" s="1"/>
  <c r="AZ176" i="2" a="1"/>
  <c r="AZ176" i="2" s="1"/>
  <c r="BA176" i="2" a="1"/>
  <c r="BA176" i="2" s="1"/>
  <c r="Q175" i="2" a="1"/>
  <c r="Q175" i="2" s="1"/>
  <c r="AG175" i="2" a="1"/>
  <c r="AG175" i="2" s="1"/>
  <c r="AG188" i="2" s="1"/>
  <c r="AG192" i="2" s="1"/>
  <c r="AC176" i="2" a="1"/>
  <c r="AC176" i="2" s="1"/>
  <c r="AC182" i="2" s="1"/>
  <c r="Y177" i="2" a="1"/>
  <c r="Y177" i="2" s="1"/>
  <c r="Y190" i="2" s="1"/>
  <c r="Y194" i="2" s="1"/>
  <c r="AJ176" i="2" a="1"/>
  <c r="AJ176" i="2" s="1"/>
  <c r="AJ182" i="2" s="1"/>
  <c r="S177" i="2" a="1"/>
  <c r="S177" i="2" s="1"/>
  <c r="S190" i="2" s="1"/>
  <c r="S194" i="2" s="1"/>
  <c r="Y176" i="2" a="1"/>
  <c r="Y176" i="2" s="1"/>
  <c r="Y182" i="2" s="1"/>
  <c r="AH175" i="2" a="1"/>
  <c r="AH175" i="2" s="1"/>
  <c r="AD176" i="2" a="1"/>
  <c r="AD176" i="2" s="1"/>
  <c r="T175" i="2" a="1"/>
  <c r="T175" i="2" s="1"/>
  <c r="U175" i="2" a="1"/>
  <c r="U175" i="2" s="1"/>
  <c r="Q177" i="2" a="1"/>
  <c r="Q177" i="2" s="1"/>
  <c r="AH177" i="2" a="1"/>
  <c r="AH177" i="2" s="1"/>
  <c r="AH190" i="2" s="1"/>
  <c r="AH194" i="2" s="1"/>
  <c r="X176" i="2" a="1"/>
  <c r="X176" i="2" s="1"/>
  <c r="X182" i="2" s="1"/>
  <c r="AE175" i="2" a="1"/>
  <c r="AE175" i="2" s="1"/>
  <c r="R175" i="2" a="1"/>
  <c r="R175" i="2" s="1"/>
  <c r="R188" i="2" s="1"/>
  <c r="R192" i="2" s="1"/>
  <c r="Z177" i="2" a="1"/>
  <c r="Z177" i="2" s="1"/>
  <c r="Z190" i="2" s="1"/>
  <c r="Z194" i="2" s="1"/>
  <c r="AF176" i="2" a="1"/>
  <c r="AF176" i="2" s="1"/>
  <c r="AF189" i="2" s="1"/>
  <c r="AF193" i="2" s="1"/>
  <c r="AH176" i="2" a="1"/>
  <c r="AH176" i="2" s="1"/>
  <c r="AH182" i="2" s="1"/>
  <c r="S176" i="2" a="1"/>
  <c r="S176" i="2" s="1"/>
  <c r="V176" i="2" a="1"/>
  <c r="V176" i="2" s="1"/>
  <c r="AB175" i="2" a="1"/>
  <c r="AB175" i="2" s="1"/>
  <c r="AB188" i="2" s="1"/>
  <c r="AB192" i="2" s="1"/>
  <c r="Z176" i="2" a="1"/>
  <c r="Z176" i="2" s="1"/>
  <c r="S175" i="2" a="1"/>
  <c r="S175" i="2" s="1"/>
  <c r="AI175" i="2" a="1"/>
  <c r="AI175" i="2" s="1"/>
  <c r="AI188" i="2" s="1"/>
  <c r="AI192" i="2" s="1"/>
  <c r="AA177" i="2" a="1"/>
  <c r="AA177" i="2" s="1"/>
  <c r="AA190" i="2" s="1"/>
  <c r="AA194" i="2" s="1"/>
  <c r="AB177" i="2" a="1"/>
  <c r="AB177" i="2" s="1"/>
  <c r="AB190" i="2" s="1"/>
  <c r="AB194" i="2" s="1"/>
  <c r="AC177" i="2" a="1"/>
  <c r="AC177" i="2" s="1"/>
  <c r="AC190" i="2" s="1"/>
  <c r="AC194" i="2" s="1"/>
  <c r="AD177" i="2" a="1"/>
  <c r="AD177" i="2" s="1"/>
  <c r="AD190" i="2" s="1"/>
  <c r="AD194" i="2" s="1"/>
  <c r="AI176" i="2" a="1"/>
  <c r="AI176" i="2" s="1"/>
  <c r="Z175" i="2" a="1"/>
  <c r="Z175" i="2" s="1"/>
  <c r="AA175" i="2" a="1"/>
  <c r="AA175" i="2" s="1"/>
  <c r="U177" i="2" a="1"/>
  <c r="U177" i="2" s="1"/>
  <c r="U190" i="2" s="1"/>
  <c r="U194" i="2" s="1"/>
  <c r="AB176" i="2" a="1"/>
  <c r="AB176" i="2" s="1"/>
  <c r="AB182" i="2" s="1"/>
  <c r="AE176" i="2" a="1"/>
  <c r="AE176" i="2" s="1"/>
  <c r="AE189" i="2" s="1"/>
  <c r="AE193" i="2" s="1"/>
  <c r="X177" i="2" a="1"/>
  <c r="X177" i="2" s="1"/>
  <c r="X190" i="2" s="1"/>
  <c r="X194" i="2" s="1"/>
  <c r="Q176" i="2" a="1"/>
  <c r="Q176" i="2" s="1"/>
  <c r="Q182" i="2" s="1"/>
  <c r="W177" i="2" a="1"/>
  <c r="W177" i="2" s="1"/>
  <c r="W190" i="2" s="1"/>
  <c r="W194" i="2" s="1"/>
  <c r="AJ175" i="2" a="1"/>
  <c r="AJ175" i="2" s="1"/>
  <c r="AE177" i="2" a="1"/>
  <c r="AE177" i="2" s="1"/>
  <c r="AE190" i="2" s="1"/>
  <c r="AE194" i="2" s="1"/>
  <c r="AG176" i="2" a="1"/>
  <c r="AG176" i="2" s="1"/>
  <c r="AG189" i="2" s="1"/>
  <c r="AG193" i="2" s="1"/>
  <c r="V175" i="2" a="1"/>
  <c r="V175" i="2" s="1"/>
  <c r="AF177" i="2" a="1"/>
  <c r="AF177" i="2" s="1"/>
  <c r="AF190" i="2" s="1"/>
  <c r="AF194" i="2" s="1"/>
  <c r="AJ177" i="2" a="1"/>
  <c r="AJ177" i="2" s="1"/>
  <c r="AJ190" i="2" s="1"/>
  <c r="AJ194" i="2" s="1"/>
  <c r="R176" i="2" a="1"/>
  <c r="R176" i="2" s="1"/>
  <c r="R182" i="2" s="1"/>
  <c r="W175" i="2" a="1"/>
  <c r="W175" i="2" s="1"/>
  <c r="U176" i="2" a="1"/>
  <c r="U176" i="2" s="1"/>
  <c r="AI177" i="2" a="1"/>
  <c r="AI177" i="2" s="1"/>
  <c r="AI190" i="2" s="1"/>
  <c r="AI194" i="2" s="1"/>
  <c r="X175" i="2" a="1"/>
  <c r="X175" i="2" s="1"/>
  <c r="R177" i="2" a="1"/>
  <c r="R177" i="2" s="1"/>
  <c r="R190" i="2" s="1"/>
  <c r="R194" i="2" s="1"/>
  <c r="AC175" i="2" a="1"/>
  <c r="AC175" i="2" s="1"/>
  <c r="T176" i="2" a="1"/>
  <c r="T176" i="2" s="1"/>
  <c r="AG177" i="2" a="1"/>
  <c r="AG177" i="2" s="1"/>
  <c r="AG190" i="2" s="1"/>
  <c r="AG194" i="2" s="1"/>
  <c r="T177" i="2" a="1"/>
  <c r="T177" i="2" s="1"/>
  <c r="T190" i="2" s="1"/>
  <c r="T194" i="2" s="1"/>
  <c r="V177" i="2" a="1"/>
  <c r="V177" i="2" s="1"/>
  <c r="V190" i="2" s="1"/>
  <c r="V194" i="2" s="1"/>
  <c r="Y175" i="2" a="1"/>
  <c r="Y175" i="2" s="1"/>
  <c r="W176" i="2" a="1"/>
  <c r="W176" i="2" s="1"/>
  <c r="AA176" i="2" a="1"/>
  <c r="AA176" i="2" s="1"/>
  <c r="AA189" i="2" s="1"/>
  <c r="AA193" i="2" s="1"/>
  <c r="AD175" i="2" a="1"/>
  <c r="AD175" i="2" s="1"/>
  <c r="AF175" i="2" a="1"/>
  <c r="AF175" i="2" s="1"/>
  <c r="P84" i="2"/>
  <c r="P166" i="2" s="1" a="1"/>
  <c r="P166" i="2" s="1"/>
  <c r="CK189" i="2" l="1"/>
  <c r="CK193" i="2" s="1"/>
  <c r="CK182" i="2"/>
  <c r="CK181" i="2"/>
  <c r="CN189" i="2"/>
  <c r="CN193" i="2" s="1"/>
  <c r="CN182" i="2"/>
  <c r="CN181" i="2"/>
  <c r="CF189" i="2"/>
  <c r="CF193" i="2" s="1"/>
  <c r="CF182" i="2"/>
  <c r="CF181" i="2"/>
  <c r="CN172" i="2"/>
  <c r="CN173" i="2"/>
  <c r="CG171" i="2"/>
  <c r="CG196" i="2" a="1"/>
  <c r="CG188" i="2"/>
  <c r="CG192" i="2" s="1"/>
  <c r="CG180" i="2"/>
  <c r="CY181" i="2"/>
  <c r="CY182" i="2"/>
  <c r="CY189" i="2"/>
  <c r="CY193" i="2" s="1"/>
  <c r="CO180" i="2"/>
  <c r="CO171" i="2"/>
  <c r="CO188" i="2"/>
  <c r="CO192" i="2" s="1"/>
  <c r="CO196" i="2" a="1"/>
  <c r="CJ171" i="2"/>
  <c r="CJ196" i="2" a="1"/>
  <c r="CJ188" i="2"/>
  <c r="CJ192" i="2" s="1"/>
  <c r="CJ180" i="2"/>
  <c r="CI189" i="2"/>
  <c r="CI193" i="2" s="1"/>
  <c r="CI182" i="2"/>
  <c r="CI181" i="2"/>
  <c r="DA173" i="2"/>
  <c r="DA172" i="2"/>
  <c r="CK173" i="2"/>
  <c r="CK172" i="2"/>
  <c r="CV173" i="2"/>
  <c r="CV172" i="2"/>
  <c r="CS172" i="2"/>
  <c r="CS173" i="2"/>
  <c r="CF173" i="2"/>
  <c r="CF172" i="2"/>
  <c r="CW188" i="2"/>
  <c r="CW192" i="2" s="1"/>
  <c r="CW180" i="2"/>
  <c r="CW196" i="2" a="1"/>
  <c r="CW171" i="2"/>
  <c r="DA188" i="2"/>
  <c r="DA192" i="2" s="1"/>
  <c r="DA180" i="2"/>
  <c r="DA196" i="2" a="1"/>
  <c r="DA171" i="2"/>
  <c r="CE182" i="2"/>
  <c r="CE189" i="2"/>
  <c r="CE193" i="2" s="1"/>
  <c r="CE181" i="2"/>
  <c r="CY188" i="2"/>
  <c r="CY192" i="2" s="1"/>
  <c r="CY185" i="2" s="1"/>
  <c r="CY180" i="2"/>
  <c r="CY196" i="2" a="1"/>
  <c r="CY171" i="2"/>
  <c r="CM189" i="2"/>
  <c r="CM193" i="2" s="1"/>
  <c r="CM182" i="2"/>
  <c r="CM181" i="2"/>
  <c r="CN180" i="2"/>
  <c r="CN171" i="2"/>
  <c r="CN188" i="2"/>
  <c r="CN192" i="2" s="1"/>
  <c r="CN185" i="2" s="1"/>
  <c r="CN196" i="2" a="1"/>
  <c r="CI171" i="2"/>
  <c r="CI196" i="2" a="1"/>
  <c r="CI188" i="2"/>
  <c r="CI192" i="2" s="1"/>
  <c r="CI185" i="2" s="1"/>
  <c r="CI180" i="2"/>
  <c r="CV196" i="2" a="1"/>
  <c r="CV180" i="2"/>
  <c r="CV188" i="2"/>
  <c r="CV192" i="2" s="1"/>
  <c r="CV171" i="2"/>
  <c r="CR180" i="2"/>
  <c r="CR171" i="2"/>
  <c r="CR196" i="2" a="1"/>
  <c r="CR188" i="2"/>
  <c r="CR192" i="2" s="1"/>
  <c r="CF171" i="2"/>
  <c r="CF196" i="2" a="1"/>
  <c r="CF188" i="2"/>
  <c r="CF192" i="2" s="1"/>
  <c r="CF185" i="2" s="1"/>
  <c r="CF180" i="2"/>
  <c r="CR172" i="2"/>
  <c r="CR173" i="2"/>
  <c r="CM172" i="2"/>
  <c r="CM173" i="2"/>
  <c r="CZ173" i="2"/>
  <c r="CZ172" i="2"/>
  <c r="CU181" i="2"/>
  <c r="CU182" i="2"/>
  <c r="CU189" i="2"/>
  <c r="CU193" i="2" s="1"/>
  <c r="CD189" i="2"/>
  <c r="CD193" i="2" s="1"/>
  <c r="CD182" i="2"/>
  <c r="CD181" i="2"/>
  <c r="CJ173" i="2"/>
  <c r="CJ172" i="2"/>
  <c r="CX181" i="2"/>
  <c r="CX189" i="2"/>
  <c r="CX193" i="2" s="1"/>
  <c r="CX182" i="2"/>
  <c r="CQ180" i="2"/>
  <c r="CQ171" i="2"/>
  <c r="CQ188" i="2"/>
  <c r="CQ192" i="2" s="1"/>
  <c r="CQ196" i="2" a="1"/>
  <c r="CW173" i="2"/>
  <c r="CW172" i="2"/>
  <c r="CM180" i="2"/>
  <c r="CM171" i="2"/>
  <c r="CM188" i="2"/>
  <c r="CM192" i="2" s="1"/>
  <c r="CM196" i="2" a="1"/>
  <c r="CL189" i="2"/>
  <c r="CL193" i="2" s="1"/>
  <c r="CL182" i="2"/>
  <c r="CL181" i="2"/>
  <c r="CP181" i="2"/>
  <c r="CP189" i="2"/>
  <c r="CP193" i="2" s="1"/>
  <c r="CP182" i="2"/>
  <c r="CE196" i="2" a="1"/>
  <c r="CE188" i="2"/>
  <c r="CE192" i="2" s="1"/>
  <c r="CE180" i="2"/>
  <c r="CE171" i="2"/>
  <c r="CU173" i="2"/>
  <c r="CU172" i="2"/>
  <c r="CQ172" i="2"/>
  <c r="CQ173" i="2"/>
  <c r="CY173" i="2"/>
  <c r="CY172" i="2"/>
  <c r="CE173" i="2"/>
  <c r="CE172" i="2"/>
  <c r="CT181" i="2"/>
  <c r="CT189" i="2"/>
  <c r="CT193" i="2" s="1"/>
  <c r="CT182" i="2"/>
  <c r="CI173" i="2"/>
  <c r="CI172" i="2"/>
  <c r="CV181" i="2"/>
  <c r="CV189" i="2"/>
  <c r="CV193" i="2" s="1"/>
  <c r="CV182" i="2"/>
  <c r="CR181" i="2"/>
  <c r="CR189" i="2"/>
  <c r="CR193" i="2" s="1"/>
  <c r="CR182" i="2"/>
  <c r="CU180" i="2"/>
  <c r="CU196" i="2" a="1"/>
  <c r="CU188" i="2"/>
  <c r="CU192" i="2" s="1"/>
  <c r="CU171" i="2"/>
  <c r="DB182" i="2"/>
  <c r="DB181" i="2"/>
  <c r="DB189" i="2"/>
  <c r="DB193" i="2" s="1"/>
  <c r="CQ182" i="2"/>
  <c r="CQ189" i="2"/>
  <c r="CQ193" i="2" s="1"/>
  <c r="CQ181" i="2"/>
  <c r="CZ181" i="2"/>
  <c r="CZ182" i="2"/>
  <c r="CZ189" i="2"/>
  <c r="CZ193" i="2" s="1"/>
  <c r="CS181" i="2"/>
  <c r="CS189" i="2"/>
  <c r="CS193" i="2" s="1"/>
  <c r="CS182" i="2"/>
  <c r="CD196" i="2" a="1"/>
  <c r="CD188" i="2"/>
  <c r="CD192" i="2" s="1"/>
  <c r="CD185" i="2" s="1"/>
  <c r="CD180" i="2"/>
  <c r="CD171" i="2"/>
  <c r="CL171" i="2"/>
  <c r="CL180" i="2"/>
  <c r="CL196" i="2" a="1"/>
  <c r="CL188" i="2"/>
  <c r="CL192" i="2" s="1"/>
  <c r="CX173" i="2"/>
  <c r="CX172" i="2"/>
  <c r="CH189" i="2"/>
  <c r="CH193" i="2" s="1"/>
  <c r="CH182" i="2"/>
  <c r="CH181" i="2"/>
  <c r="CX188" i="2"/>
  <c r="CX192" i="2" s="1"/>
  <c r="CX180" i="2"/>
  <c r="CX196" i="2" a="1"/>
  <c r="CX171" i="2"/>
  <c r="CH173" i="2"/>
  <c r="CH172" i="2"/>
  <c r="CP172" i="2"/>
  <c r="CP173" i="2"/>
  <c r="CT196" i="2" a="1"/>
  <c r="CT180" i="2"/>
  <c r="CT171" i="2"/>
  <c r="CT188" i="2"/>
  <c r="CT192" i="2" s="1"/>
  <c r="CL173" i="2"/>
  <c r="CL172" i="2"/>
  <c r="CW181" i="2"/>
  <c r="CW182" i="2"/>
  <c r="CW189" i="2"/>
  <c r="CW193" i="2" s="1"/>
  <c r="CS196" i="2" a="1"/>
  <c r="CS180" i="2"/>
  <c r="CS188" i="2"/>
  <c r="CS192" i="2" s="1"/>
  <c r="CS185" i="2" s="1"/>
  <c r="CS171" i="2"/>
  <c r="CG182" i="2"/>
  <c r="CG189" i="2"/>
  <c r="CG193" i="2" s="1"/>
  <c r="CG181" i="2"/>
  <c r="DB188" i="2"/>
  <c r="DB192" i="2" s="1"/>
  <c r="DB185" i="2" s="1"/>
  <c r="DB180" i="2"/>
  <c r="DB196" i="2" a="1"/>
  <c r="DB171" i="2"/>
  <c r="CZ188" i="2"/>
  <c r="CZ192" i="2" s="1"/>
  <c r="CZ180" i="2"/>
  <c r="CZ196" i="2" a="1"/>
  <c r="CZ171" i="2"/>
  <c r="CP180" i="2"/>
  <c r="CP171" i="2"/>
  <c r="CP188" i="2"/>
  <c r="CP192" i="2" s="1"/>
  <c r="CP196" i="2" a="1"/>
  <c r="CO182" i="2"/>
  <c r="CO189" i="2"/>
  <c r="CO193" i="2" s="1"/>
  <c r="CO181" i="2"/>
  <c r="CG173" i="2"/>
  <c r="CG172" i="2"/>
  <c r="CK171" i="2"/>
  <c r="CK188" i="2"/>
  <c r="CK192" i="2" s="1"/>
  <c r="CK185" i="2" s="1"/>
  <c r="CK196" i="2" a="1"/>
  <c r="CK180" i="2"/>
  <c r="CH171" i="2"/>
  <c r="CH196" i="2" a="1"/>
  <c r="CH188" i="2"/>
  <c r="CH192" i="2" s="1"/>
  <c r="CH180" i="2"/>
  <c r="DB173" i="2"/>
  <c r="DB172" i="2"/>
  <c r="DA182" i="2"/>
  <c r="DA181" i="2"/>
  <c r="DA189" i="2"/>
  <c r="DA193" i="2" s="1"/>
  <c r="CT172" i="2"/>
  <c r="CT173" i="2"/>
  <c r="CO172" i="2"/>
  <c r="CO173" i="2"/>
  <c r="CJ189" i="2"/>
  <c r="CJ193" i="2" s="1"/>
  <c r="CJ182" i="2"/>
  <c r="CJ181" i="2"/>
  <c r="CD173" i="2"/>
  <c r="CD172" i="2"/>
  <c r="P167" i="2" a="1"/>
  <c r="P167" i="2" s="1"/>
  <c r="P168" i="2" a="1"/>
  <c r="P168" i="2" s="1"/>
  <c r="P175" i="2" a="1"/>
  <c r="P175" i="2" s="1"/>
  <c r="Z172" i="2"/>
  <c r="AL172" i="2"/>
  <c r="AQ171" i="2"/>
  <c r="AM172" i="2"/>
  <c r="BV172" i="2"/>
  <c r="AS172" i="2"/>
  <c r="AP171" i="2"/>
  <c r="BV171" i="2"/>
  <c r="W181" i="2"/>
  <c r="Y181" i="2"/>
  <c r="AN171" i="2"/>
  <c r="BT171" i="2"/>
  <c r="AW171" i="2"/>
  <c r="BS171" i="2"/>
  <c r="BC171" i="2"/>
  <c r="AQ172" i="2"/>
  <c r="BU171" i="2"/>
  <c r="BB172" i="2"/>
  <c r="AB189" i="2"/>
  <c r="AB193" i="2" s="1"/>
  <c r="AB184" i="2" s="1"/>
  <c r="BD171" i="2"/>
  <c r="BM171" i="2"/>
  <c r="BB171" i="2"/>
  <c r="Q180" i="2"/>
  <c r="CC171" i="2"/>
  <c r="BW171" i="2"/>
  <c r="CB171" i="2"/>
  <c r="BA171" i="2"/>
  <c r="BG171" i="2"/>
  <c r="AK172" i="2"/>
  <c r="BZ172" i="2"/>
  <c r="AE181" i="2"/>
  <c r="BX172" i="2"/>
  <c r="BN172" i="2"/>
  <c r="BG172" i="2"/>
  <c r="AO188" i="2"/>
  <c r="AO192" i="2" s="1"/>
  <c r="AO180" i="2"/>
  <c r="AO196" i="2" a="1"/>
  <c r="AZ180" i="2"/>
  <c r="AZ188" i="2"/>
  <c r="AZ192" i="2" s="1"/>
  <c r="AZ196" i="2" a="1"/>
  <c r="BL180" i="2"/>
  <c r="BL188" i="2"/>
  <c r="BL192" i="2" s="1"/>
  <c r="BL196" i="2" a="1"/>
  <c r="BS181" i="2"/>
  <c r="BS182" i="2"/>
  <c r="BS189" i="2"/>
  <c r="BS193" i="2" s="1"/>
  <c r="AX181" i="2"/>
  <c r="AX189" i="2"/>
  <c r="AX193" i="2" s="1"/>
  <c r="AX182" i="2"/>
  <c r="AV180" i="2"/>
  <c r="AV188" i="2"/>
  <c r="AV192" i="2" s="1"/>
  <c r="AV196" i="2" a="1"/>
  <c r="AM181" i="2"/>
  <c r="AM182" i="2"/>
  <c r="AM189" i="2"/>
  <c r="AM193" i="2" s="1"/>
  <c r="AR172" i="2"/>
  <c r="BE181" i="2"/>
  <c r="BE182" i="2"/>
  <c r="BE189" i="2"/>
  <c r="BE193" i="2" s="1"/>
  <c r="BY180" i="2"/>
  <c r="BY188" i="2"/>
  <c r="BY192" i="2" s="1"/>
  <c r="BY196" i="2" a="1"/>
  <c r="BH171" i="2"/>
  <c r="AO171" i="2"/>
  <c r="AO189" i="2"/>
  <c r="AO193" i="2" s="1"/>
  <c r="AO182" i="2"/>
  <c r="AO181" i="2"/>
  <c r="AX171" i="2"/>
  <c r="BS172" i="2"/>
  <c r="BZ181" i="2"/>
  <c r="BZ189" i="2"/>
  <c r="BZ193" i="2" s="1"/>
  <c r="BZ182" i="2"/>
  <c r="CA196" i="2" a="1"/>
  <c r="CA180" i="2"/>
  <c r="CA188" i="2"/>
  <c r="CA192" i="2" s="1"/>
  <c r="CB172" i="2"/>
  <c r="BK180" i="2"/>
  <c r="BK188" i="2"/>
  <c r="BK192" i="2" s="1"/>
  <c r="BK196" i="2" a="1"/>
  <c r="AV172" i="2"/>
  <c r="BY171" i="2"/>
  <c r="AU188" i="2"/>
  <c r="AU192" i="2" s="1"/>
  <c r="AU196" i="2" a="1"/>
  <c r="AU180" i="2"/>
  <c r="BR181" i="2"/>
  <c r="BR189" i="2"/>
  <c r="BR193" i="2" s="1"/>
  <c r="BR182" i="2"/>
  <c r="BA172" i="2"/>
  <c r="AS171" i="2"/>
  <c r="BU182" i="2"/>
  <c r="BU181" i="2"/>
  <c r="BU189" i="2"/>
  <c r="BU193" i="2" s="1"/>
  <c r="BB181" i="2"/>
  <c r="BB189" i="2"/>
  <c r="BB193" i="2" s="1"/>
  <c r="BB182" i="2"/>
  <c r="BW172" i="2"/>
  <c r="AV181" i="2"/>
  <c r="AV189" i="2"/>
  <c r="AV193" i="2" s="1"/>
  <c r="AV182" i="2"/>
  <c r="AL181" i="2"/>
  <c r="AL189" i="2"/>
  <c r="AL193" i="2" s="1"/>
  <c r="AL182" i="2"/>
  <c r="BF172" i="2"/>
  <c r="AM188" i="2"/>
  <c r="AM192" i="2" s="1"/>
  <c r="AM196" i="2" a="1"/>
  <c r="AM180" i="2"/>
  <c r="BM182" i="2"/>
  <c r="BM181" i="2"/>
  <c r="BM189" i="2"/>
  <c r="BM193" i="2" s="1"/>
  <c r="BR188" i="2"/>
  <c r="BR192" i="2" s="1"/>
  <c r="BR180" i="2"/>
  <c r="BR196" i="2" a="1"/>
  <c r="BX180" i="2"/>
  <c r="BX188" i="2"/>
  <c r="BX192" i="2" s="1"/>
  <c r="BX196" i="2" a="1"/>
  <c r="BL171" i="2"/>
  <c r="BR172" i="2"/>
  <c r="AP181" i="2"/>
  <c r="AP189" i="2"/>
  <c r="AP193" i="2" s="1"/>
  <c r="AP182" i="2"/>
  <c r="BP181" i="2"/>
  <c r="BP189" i="2"/>
  <c r="BP193" i="2" s="1"/>
  <c r="BP182" i="2"/>
  <c r="BB180" i="2"/>
  <c r="BB188" i="2"/>
  <c r="BB192" i="2" s="1"/>
  <c r="BB196" i="2" a="1"/>
  <c r="BY182" i="2"/>
  <c r="BY181" i="2"/>
  <c r="BY189" i="2"/>
  <c r="BY193" i="2" s="1"/>
  <c r="BD181" i="2"/>
  <c r="BD189" i="2"/>
  <c r="BD193" i="2" s="1"/>
  <c r="BD182" i="2"/>
  <c r="BH180" i="2"/>
  <c r="BH188" i="2"/>
  <c r="BH192" i="2" s="1"/>
  <c r="BH196" i="2" a="1"/>
  <c r="CA172" i="2"/>
  <c r="BJ182" i="2"/>
  <c r="BJ181" i="2"/>
  <c r="BJ189" i="2"/>
  <c r="BJ193" i="2" s="1"/>
  <c r="AL188" i="2"/>
  <c r="AL192" i="2" s="1"/>
  <c r="AL180" i="2"/>
  <c r="AL196" i="2" a="1"/>
  <c r="BI182" i="2"/>
  <c r="BI181" i="2"/>
  <c r="BI189" i="2"/>
  <c r="BI193" i="2" s="1"/>
  <c r="AR180" i="2"/>
  <c r="AR188" i="2"/>
  <c r="AR192" i="2" s="1"/>
  <c r="AR196" i="2" a="1"/>
  <c r="AZ172" i="2"/>
  <c r="AU172" i="2"/>
  <c r="BX171" i="2"/>
  <c r="AN188" i="2"/>
  <c r="AN192" i="2" s="1"/>
  <c r="AN196" i="2" a="1"/>
  <c r="AN180" i="2"/>
  <c r="AS182" i="2"/>
  <c r="AS189" i="2"/>
  <c r="AS193" i="2" s="1"/>
  <c r="AS181" i="2"/>
  <c r="BJ180" i="2"/>
  <c r="BJ188" i="2"/>
  <c r="BJ192" i="2" s="1"/>
  <c r="BJ196" i="2" a="1"/>
  <c r="AR171" i="2"/>
  <c r="BM172" i="2"/>
  <c r="BC196" i="2" a="1"/>
  <c r="BC188" i="2"/>
  <c r="BC192" i="2" s="1"/>
  <c r="BC180" i="2"/>
  <c r="BL189" i="2"/>
  <c r="BL193" i="2" s="1"/>
  <c r="BL182" i="2"/>
  <c r="BL181" i="2"/>
  <c r="AT180" i="2"/>
  <c r="AT188" i="2"/>
  <c r="AT192" i="2" s="1"/>
  <c r="AT196" i="2" a="1"/>
  <c r="BE172" i="2"/>
  <c r="BF171" i="2"/>
  <c r="AW181" i="2"/>
  <c r="AW182" i="2"/>
  <c r="AW189" i="2"/>
  <c r="AW193" i="2" s="1"/>
  <c r="AK189" i="2"/>
  <c r="AK193" i="2" s="1"/>
  <c r="AK182" i="2"/>
  <c r="AK181" i="2"/>
  <c r="AP172" i="2"/>
  <c r="BT188" i="2"/>
  <c r="BT192" i="2" s="1"/>
  <c r="BT196" i="2" a="1"/>
  <c r="BT180" i="2"/>
  <c r="BQ181" i="2"/>
  <c r="BQ182" i="2"/>
  <c r="BQ189" i="2"/>
  <c r="BQ193" i="2" s="1"/>
  <c r="BO180" i="2"/>
  <c r="BO188" i="2"/>
  <c r="BO192" i="2" s="1"/>
  <c r="BO196" i="2" a="1"/>
  <c r="BK171" i="2"/>
  <c r="AM171" i="2"/>
  <c r="BK182" i="2"/>
  <c r="BK181" i="2"/>
  <c r="BK189" i="2"/>
  <c r="BK193" i="2" s="1"/>
  <c r="AY180" i="2"/>
  <c r="AY196" i="2" a="1"/>
  <c r="AY188" i="2"/>
  <c r="AY192" i="2" s="1"/>
  <c r="AV171" i="2"/>
  <c r="BQ172" i="2"/>
  <c r="BN189" i="2"/>
  <c r="BN193" i="2" s="1"/>
  <c r="BN182" i="2"/>
  <c r="BN181" i="2"/>
  <c r="AU189" i="2"/>
  <c r="AU193" i="2" s="1"/>
  <c r="AU181" i="2"/>
  <c r="AU182" i="2"/>
  <c r="AY172" i="2"/>
  <c r="AR181" i="2"/>
  <c r="AR189" i="2"/>
  <c r="AR193" i="2" s="1"/>
  <c r="AR182" i="2"/>
  <c r="BT181" i="2"/>
  <c r="BT189" i="2"/>
  <c r="BT193" i="2" s="1"/>
  <c r="BT182" i="2"/>
  <c r="BJ172" i="2"/>
  <c r="AT172" i="2"/>
  <c r="BA188" i="2"/>
  <c r="BA192" i="2" s="1"/>
  <c r="BA180" i="2"/>
  <c r="BA196" i="2" a="1"/>
  <c r="AN181" i="2"/>
  <c r="AN189" i="2"/>
  <c r="AN193" i="2" s="1"/>
  <c r="AN182" i="2"/>
  <c r="BD172" i="2"/>
  <c r="BE171" i="2"/>
  <c r="BL172" i="2"/>
  <c r="BP180" i="2"/>
  <c r="BP196" i="2" a="1"/>
  <c r="BP188" i="2"/>
  <c r="BP192" i="2" s="1"/>
  <c r="AK188" i="2"/>
  <c r="AK192" i="2" s="1"/>
  <c r="AK196" i="2" a="1"/>
  <c r="AK180" i="2"/>
  <c r="BZ180" i="2"/>
  <c r="BZ188" i="2"/>
  <c r="BZ192" i="2" s="1"/>
  <c r="BZ196" i="2" a="1"/>
  <c r="BP171" i="2"/>
  <c r="AZ171" i="2"/>
  <c r="BU172" i="2"/>
  <c r="BN180" i="2"/>
  <c r="BN188" i="2"/>
  <c r="BN192" i="2" s="1"/>
  <c r="BN196" i="2" a="1"/>
  <c r="BI172" i="2"/>
  <c r="BJ171" i="2"/>
  <c r="AO172" i="2"/>
  <c r="BR171" i="2"/>
  <c r="AX180" i="2"/>
  <c r="AX188" i="2"/>
  <c r="AX192" i="2" s="1"/>
  <c r="AX196" i="2" a="1"/>
  <c r="CA171" i="2"/>
  <c r="AL171" i="2"/>
  <c r="CA189" i="2"/>
  <c r="CA193" i="2" s="1"/>
  <c r="CA181" i="2"/>
  <c r="CA182" i="2"/>
  <c r="BG181" i="2"/>
  <c r="BG182" i="2"/>
  <c r="BG189" i="2"/>
  <c r="BG193" i="2" s="1"/>
  <c r="BC181" i="2"/>
  <c r="BC182" i="2"/>
  <c r="BC189" i="2"/>
  <c r="BC193" i="2" s="1"/>
  <c r="BO171" i="2"/>
  <c r="AX172" i="2"/>
  <c r="AU171" i="2"/>
  <c r="BP172" i="2"/>
  <c r="CC181" i="2"/>
  <c r="CC182" i="2"/>
  <c r="CC189" i="2"/>
  <c r="CC193" i="2" s="1"/>
  <c r="CB181" i="2"/>
  <c r="CB189" i="2"/>
  <c r="CB193" i="2" s="1"/>
  <c r="CB182" i="2"/>
  <c r="BG180" i="2"/>
  <c r="BG188" i="2"/>
  <c r="BG192" i="2" s="1"/>
  <c r="BG196" i="2" a="1"/>
  <c r="AQ180" i="2"/>
  <c r="AQ188" i="2"/>
  <c r="AQ192" i="2" s="1"/>
  <c r="AQ196" i="2" a="1"/>
  <c r="BY172" i="2"/>
  <c r="BX181" i="2"/>
  <c r="BX189" i="2"/>
  <c r="BX193" i="2" s="1"/>
  <c r="BX182" i="2"/>
  <c r="AE182" i="2"/>
  <c r="AY181" i="2"/>
  <c r="AY182" i="2"/>
  <c r="AY189" i="2"/>
  <c r="AY193" i="2" s="1"/>
  <c r="BQ196" i="2" a="1"/>
  <c r="BQ180" i="2"/>
  <c r="BQ188" i="2"/>
  <c r="BQ192" i="2" s="1"/>
  <c r="CC196" i="2" a="1"/>
  <c r="CC180" i="2"/>
  <c r="CC188" i="2"/>
  <c r="CC192" i="2" s="1"/>
  <c r="BI180" i="2"/>
  <c r="BI188" i="2"/>
  <c r="BI192" i="2" s="1"/>
  <c r="BI196" i="2" a="1"/>
  <c r="BC172" i="2"/>
  <c r="BV180" i="2"/>
  <c r="BV188" i="2"/>
  <c r="BV192" i="2" s="1"/>
  <c r="BV196" i="2" a="1"/>
  <c r="BM180" i="2"/>
  <c r="BM188" i="2"/>
  <c r="BM192" i="2" s="1"/>
  <c r="BM196" i="2" a="1"/>
  <c r="AS180" i="2"/>
  <c r="AS196" i="2" a="1"/>
  <c r="AS188" i="2"/>
  <c r="AS192" i="2" s="1"/>
  <c r="BK172" i="2"/>
  <c r="BD180" i="2"/>
  <c r="BD188" i="2"/>
  <c r="BD192" i="2" s="1"/>
  <c r="BD196" i="2" a="1"/>
  <c r="BW180" i="2"/>
  <c r="BW196" i="2" a="1"/>
  <c r="BW188" i="2"/>
  <c r="BW192" i="2" s="1"/>
  <c r="Z180" i="2"/>
  <c r="BA181" i="2"/>
  <c r="BA182" i="2"/>
  <c r="BA189" i="2"/>
  <c r="BA193" i="2" s="1"/>
  <c r="BF180" i="2"/>
  <c r="BF188" i="2"/>
  <c r="BF192" i="2" s="1"/>
  <c r="BF196" i="2" a="1"/>
  <c r="AW180" i="2"/>
  <c r="AW188" i="2"/>
  <c r="AW192" i="2" s="1"/>
  <c r="AW196" i="2" a="1"/>
  <c r="BH172" i="2"/>
  <c r="BI171" i="2"/>
  <c r="AY171" i="2"/>
  <c r="BT172" i="2"/>
  <c r="BH181" i="2"/>
  <c r="BH189" i="2"/>
  <c r="BH193" i="2" s="1"/>
  <c r="BH182" i="2"/>
  <c r="AI181" i="2"/>
  <c r="AP180" i="2"/>
  <c r="AP188" i="2"/>
  <c r="AP192" i="2" s="1"/>
  <c r="AP196" i="2" a="1"/>
  <c r="BF181" i="2"/>
  <c r="BF189" i="2"/>
  <c r="BF193" i="2" s="1"/>
  <c r="BF182" i="2"/>
  <c r="CC172" i="2"/>
  <c r="AN172" i="2"/>
  <c r="BQ171" i="2"/>
  <c r="AQ182" i="2"/>
  <c r="AQ189" i="2"/>
  <c r="AQ193" i="2" s="1"/>
  <c r="AQ181" i="2"/>
  <c r="BV181" i="2"/>
  <c r="BV189" i="2"/>
  <c r="BV193" i="2" s="1"/>
  <c r="BV182" i="2"/>
  <c r="R180" i="2"/>
  <c r="AZ181" i="2"/>
  <c r="AZ189" i="2"/>
  <c r="AZ193" i="2" s="1"/>
  <c r="AZ182" i="2"/>
  <c r="BO182" i="2"/>
  <c r="BO181" i="2"/>
  <c r="BO189" i="2"/>
  <c r="BO193" i="2" s="1"/>
  <c r="BU180" i="2"/>
  <c r="BU188" i="2"/>
  <c r="BU192" i="2" s="1"/>
  <c r="BU196" i="2" a="1"/>
  <c r="AT181" i="2"/>
  <c r="AT189" i="2"/>
  <c r="AT193" i="2" s="1"/>
  <c r="AT182" i="2"/>
  <c r="BN171" i="2"/>
  <c r="AW172" i="2"/>
  <c r="BZ171" i="2"/>
  <c r="AK171" i="2"/>
  <c r="BS180" i="2"/>
  <c r="BS188" i="2"/>
  <c r="BS192" i="2" s="1"/>
  <c r="BS196" i="2" a="1"/>
  <c r="BW181" i="2"/>
  <c r="BW182" i="2"/>
  <c r="BW189" i="2"/>
  <c r="BW193" i="2" s="1"/>
  <c r="AF180" i="2"/>
  <c r="BE180" i="2"/>
  <c r="BE196" i="2" a="1"/>
  <c r="BE188" i="2"/>
  <c r="BE192" i="2" s="1"/>
  <c r="CB180" i="2"/>
  <c r="CB188" i="2"/>
  <c r="CB192" i="2" s="1"/>
  <c r="CB196" i="2" a="1"/>
  <c r="AT171" i="2"/>
  <c r="BO172" i="2"/>
  <c r="U181" i="2"/>
  <c r="X180" i="2"/>
  <c r="AA180" i="2"/>
  <c r="V181" i="2"/>
  <c r="P176" i="2" a="1"/>
  <c r="P176" i="2" s="1"/>
  <c r="P182" i="2" s="1"/>
  <c r="P177" i="2" a="1"/>
  <c r="P177" i="2" s="1"/>
  <c r="P190" i="2" s="1"/>
  <c r="P194" i="2" s="1"/>
  <c r="AD180" i="2"/>
  <c r="AH180" i="2"/>
  <c r="S180" i="2"/>
  <c r="Q181" i="2"/>
  <c r="AJ180" i="2"/>
  <c r="S181" i="2"/>
  <c r="AC181" i="2"/>
  <c r="T181" i="2"/>
  <c r="Z181" i="2"/>
  <c r="U180" i="2"/>
  <c r="T180" i="2"/>
  <c r="AD181" i="2"/>
  <c r="X181" i="2"/>
  <c r="W180" i="2"/>
  <c r="Z189" i="2"/>
  <c r="Z193" i="2" s="1"/>
  <c r="Z184" i="2" s="1"/>
  <c r="V180" i="2"/>
  <c r="AC180" i="2"/>
  <c r="AG181" i="2"/>
  <c r="R181" i="2"/>
  <c r="AA181" i="2"/>
  <c r="AI180" i="2"/>
  <c r="V182" i="2"/>
  <c r="AI182" i="2"/>
  <c r="AB181" i="2"/>
  <c r="AC188" i="2"/>
  <c r="AC192" i="2" s="1"/>
  <c r="AA182" i="2"/>
  <c r="AI189" i="2"/>
  <c r="AI193" i="2" s="1"/>
  <c r="AI185" i="2" s="1"/>
  <c r="AG180" i="2"/>
  <c r="AE180" i="2"/>
  <c r="Z182" i="2"/>
  <c r="AB180" i="2"/>
  <c r="W182" i="2"/>
  <c r="T182" i="2"/>
  <c r="Y180" i="2"/>
  <c r="Q190" i="2"/>
  <c r="Q194" i="2" s="1"/>
  <c r="AJ181" i="2"/>
  <c r="AH181" i="2"/>
  <c r="AG182" i="2"/>
  <c r="AF182" i="2"/>
  <c r="AF181" i="2"/>
  <c r="U182" i="2"/>
  <c r="T188" i="2"/>
  <c r="T192" i="2" s="1"/>
  <c r="S182" i="2"/>
  <c r="AD182" i="2"/>
  <c r="AH189" i="2"/>
  <c r="AH193" i="2" s="1"/>
  <c r="AH184" i="2" s="1"/>
  <c r="AH196" i="2" a="1"/>
  <c r="AH196" i="2" s="1"/>
  <c r="AH200" i="2" s="1"/>
  <c r="AH188" i="2"/>
  <c r="AH192" i="2" s="1"/>
  <c r="AJ189" i="2"/>
  <c r="AJ193" i="2" s="1"/>
  <c r="AJ184" i="2" s="1"/>
  <c r="AD196" i="2" a="1"/>
  <c r="AA196" i="2" a="1"/>
  <c r="AA196" i="2" s="1"/>
  <c r="AA200" i="2" s="1"/>
  <c r="AD188" i="2"/>
  <c r="AD192" i="2" s="1"/>
  <c r="AD189" i="2"/>
  <c r="AD193" i="2" s="1"/>
  <c r="AD184" i="2" s="1"/>
  <c r="AI196" i="2" a="1"/>
  <c r="AI196" i="2" s="1"/>
  <c r="AI200" i="2" s="1"/>
  <c r="AA188" i="2"/>
  <c r="AA192" i="2" s="1"/>
  <c r="AA185" i="2" s="1"/>
  <c r="AC189" i="2"/>
  <c r="AC193" i="2" s="1"/>
  <c r="AC184" i="2" s="1"/>
  <c r="AJ188" i="2"/>
  <c r="AJ192" i="2" s="1"/>
  <c r="AF188" i="2"/>
  <c r="AF192" i="2" s="1"/>
  <c r="AF185" i="2" s="1"/>
  <c r="AE196" i="2" a="1"/>
  <c r="AE188" i="2"/>
  <c r="AE192" i="2" s="1"/>
  <c r="AE185" i="2" s="1"/>
  <c r="AG196" i="2" a="1"/>
  <c r="AJ196" i="2" a="1"/>
  <c r="AB196" i="2" a="1"/>
  <c r="AB196" i="2" s="1"/>
  <c r="AB200" i="2" s="1"/>
  <c r="AC196" i="2" a="1"/>
  <c r="AC196" i="2" s="1"/>
  <c r="AC200" i="2" s="1"/>
  <c r="AF196" i="2" a="1"/>
  <c r="AF196" i="2" s="1"/>
  <c r="AF200" i="2" s="1"/>
  <c r="AA186" i="2"/>
  <c r="AA184" i="2"/>
  <c r="AE186" i="2"/>
  <c r="AE184" i="2"/>
  <c r="AF186" i="2"/>
  <c r="AF184" i="2"/>
  <c r="AG185" i="2"/>
  <c r="AG186" i="2"/>
  <c r="AG184" i="2"/>
  <c r="Z188" i="2"/>
  <c r="Z192" i="2" s="1"/>
  <c r="Z196" i="2" a="1"/>
  <c r="Z201" i="2" s="1"/>
  <c r="W188" i="2"/>
  <c r="W192" i="2" s="1"/>
  <c r="W196" i="2" a="1"/>
  <c r="Y189" i="2"/>
  <c r="Y193" i="2" s="1"/>
  <c r="U189" i="2"/>
  <c r="U193" i="2" s="1"/>
  <c r="U188" i="2"/>
  <c r="U192" i="2" s="1"/>
  <c r="U196" i="2" a="1"/>
  <c r="X188" i="2"/>
  <c r="X192" i="2" s="1"/>
  <c r="X196" i="2" a="1"/>
  <c r="V189" i="2"/>
  <c r="V193" i="2" s="1"/>
  <c r="T189" i="2"/>
  <c r="T193" i="2" s="1"/>
  <c r="W189" i="2"/>
  <c r="W193" i="2" s="1"/>
  <c r="X189" i="2"/>
  <c r="X193" i="2" s="1"/>
  <c r="R196" i="2" a="1"/>
  <c r="R196" i="2" s="1"/>
  <c r="R200" i="2" s="1"/>
  <c r="T196" i="2" a="1"/>
  <c r="Y188" i="2"/>
  <c r="Y192" i="2" s="1"/>
  <c r="Y196" i="2" a="1"/>
  <c r="V196" i="2" a="1"/>
  <c r="V188" i="2"/>
  <c r="V192" i="2" s="1"/>
  <c r="S188" i="2"/>
  <c r="S192" i="2" s="1"/>
  <c r="S196" i="2" a="1"/>
  <c r="S189" i="2"/>
  <c r="S193" i="2" s="1"/>
  <c r="R189" i="2"/>
  <c r="R193" i="2" s="1"/>
  <c r="Q189" i="2"/>
  <c r="Q193" i="2" s="1"/>
  <c r="Q188" i="2"/>
  <c r="Q192" i="2" s="1"/>
  <c r="Q196" i="2" a="1"/>
  <c r="CV185" i="2" l="1"/>
  <c r="CZ185" i="2"/>
  <c r="CL185" i="2"/>
  <c r="CO185" i="2"/>
  <c r="CR185" i="2"/>
  <c r="CX186" i="2"/>
  <c r="CX184" i="2"/>
  <c r="CN201" i="2"/>
  <c r="CN202" i="2"/>
  <c r="CN196" i="2"/>
  <c r="CN200" i="2" s="1"/>
  <c r="CN204" i="2" s="1"/>
  <c r="CL202" i="2"/>
  <c r="CL196" i="2"/>
  <c r="CL200" i="2" s="1"/>
  <c r="CL204" i="2" s="1"/>
  <c r="CL201" i="2"/>
  <c r="CT186" i="2"/>
  <c r="CT184" i="2"/>
  <c r="CI184" i="2"/>
  <c r="CI186" i="2"/>
  <c r="CH184" i="2"/>
  <c r="CH186" i="2"/>
  <c r="CG184" i="2"/>
  <c r="CG186" i="2"/>
  <c r="CJ185" i="2"/>
  <c r="DA186" i="2"/>
  <c r="DA184" i="2"/>
  <c r="CJ202" i="2"/>
  <c r="CJ201" i="2"/>
  <c r="CJ196" i="2"/>
  <c r="CJ200" i="2" s="1"/>
  <c r="CJ204" i="2" s="1"/>
  <c r="CD184" i="2"/>
  <c r="CD186" i="2"/>
  <c r="CM184" i="2"/>
  <c r="CM186" i="2"/>
  <c r="CD196" i="2"/>
  <c r="CD200" i="2" s="1"/>
  <c r="CD202" i="2"/>
  <c r="CD201" i="2"/>
  <c r="CU186" i="2"/>
  <c r="CU184" i="2"/>
  <c r="CO202" i="2"/>
  <c r="CO196" i="2"/>
  <c r="CO200" i="2" s="1"/>
  <c r="CO201" i="2"/>
  <c r="CY201" i="2"/>
  <c r="CY196" i="2"/>
  <c r="CY200" i="2" s="1"/>
  <c r="CY202" i="2"/>
  <c r="CS196" i="2"/>
  <c r="CS200" i="2" s="1"/>
  <c r="CS202" i="2"/>
  <c r="CS201" i="2"/>
  <c r="CS186" i="2"/>
  <c r="CS184" i="2"/>
  <c r="CW186" i="2"/>
  <c r="CW184" i="2"/>
  <c r="CH185" i="2"/>
  <c r="CZ186" i="2"/>
  <c r="CZ184" i="2"/>
  <c r="CY186" i="2"/>
  <c r="CY184" i="2"/>
  <c r="DB201" i="2"/>
  <c r="DB202" i="2"/>
  <c r="DB196" i="2"/>
  <c r="DB200" i="2" s="1"/>
  <c r="DB204" i="2" s="1"/>
  <c r="CH196" i="2"/>
  <c r="CH200" i="2" s="1"/>
  <c r="CH202" i="2"/>
  <c r="CH201" i="2"/>
  <c r="CE184" i="2"/>
  <c r="CE186" i="2"/>
  <c r="CE185" i="2"/>
  <c r="CE202" i="2"/>
  <c r="CE196" i="2"/>
  <c r="CE200" i="2" s="1"/>
  <c r="CE201" i="2"/>
  <c r="CK202" i="2"/>
  <c r="CK196" i="2"/>
  <c r="CK200" i="2" s="1"/>
  <c r="CK201" i="2"/>
  <c r="CT185" i="2"/>
  <c r="CQ186" i="2"/>
  <c r="CQ184" i="2"/>
  <c r="DA201" i="2"/>
  <c r="DA196" i="2"/>
  <c r="DA200" i="2" s="1"/>
  <c r="DA204" i="2" s="1"/>
  <c r="DA202" i="2"/>
  <c r="CG185" i="2"/>
  <c r="CP186" i="2"/>
  <c r="CP184" i="2"/>
  <c r="CG196" i="2"/>
  <c r="CG200" i="2" s="1"/>
  <c r="CG202" i="2"/>
  <c r="CG201" i="2"/>
  <c r="DB186" i="2"/>
  <c r="DB184" i="2"/>
  <c r="DA185" i="2"/>
  <c r="CT196" i="2"/>
  <c r="CT200" i="2" s="1"/>
  <c r="CT201" i="2"/>
  <c r="CT202" i="2"/>
  <c r="CF196" i="2"/>
  <c r="CF200" i="2" s="1"/>
  <c r="CF202" i="2"/>
  <c r="CF201" i="2"/>
  <c r="CW201" i="2"/>
  <c r="CW196" i="2"/>
  <c r="CW200" i="2" s="1"/>
  <c r="CW204" i="2" s="1"/>
  <c r="CW202" i="2"/>
  <c r="CL184" i="2"/>
  <c r="CL186" i="2"/>
  <c r="CJ184" i="2"/>
  <c r="CJ186" i="2"/>
  <c r="CO184" i="2"/>
  <c r="CO186" i="2"/>
  <c r="CU185" i="2"/>
  <c r="CM202" i="2"/>
  <c r="CM196" i="2"/>
  <c r="CM200" i="2" s="1"/>
  <c r="CM201" i="2"/>
  <c r="CR196" i="2"/>
  <c r="CR200" i="2" s="1"/>
  <c r="CR201" i="2"/>
  <c r="CR202" i="2"/>
  <c r="CW185" i="2"/>
  <c r="CU196" i="2"/>
  <c r="CU200" i="2" s="1"/>
  <c r="CU202" i="2"/>
  <c r="CU201" i="2"/>
  <c r="CM185" i="2"/>
  <c r="CF184" i="2"/>
  <c r="CF186" i="2"/>
  <c r="CP202" i="2"/>
  <c r="CP201" i="2"/>
  <c r="CP196" i="2"/>
  <c r="CP200" i="2" s="1"/>
  <c r="CP204" i="2" s="1"/>
  <c r="CP185" i="2"/>
  <c r="CX196" i="2"/>
  <c r="CX200" i="2" s="1"/>
  <c r="CX201" i="2"/>
  <c r="CX202" i="2"/>
  <c r="CR186" i="2"/>
  <c r="CR184" i="2"/>
  <c r="CN184" i="2"/>
  <c r="CN186" i="2"/>
  <c r="CX185" i="2"/>
  <c r="CQ202" i="2"/>
  <c r="CQ196" i="2"/>
  <c r="CQ200" i="2" s="1"/>
  <c r="CQ201" i="2"/>
  <c r="CV201" i="2"/>
  <c r="CV196" i="2"/>
  <c r="CV200" i="2" s="1"/>
  <c r="CV202" i="2"/>
  <c r="CI202" i="2"/>
  <c r="CI196" i="2"/>
  <c r="CI200" i="2" s="1"/>
  <c r="CI204" i="2" s="1"/>
  <c r="CI201" i="2"/>
  <c r="CZ201" i="2"/>
  <c r="CZ196" i="2"/>
  <c r="CZ200" i="2" s="1"/>
  <c r="CZ202" i="2"/>
  <c r="CV186" i="2"/>
  <c r="CV184" i="2"/>
  <c r="CQ185" i="2"/>
  <c r="CK184" i="2"/>
  <c r="CK186" i="2"/>
  <c r="BE185" i="2"/>
  <c r="AL185" i="2"/>
  <c r="AT185" i="2"/>
  <c r="AB185" i="2"/>
  <c r="BI185" i="2"/>
  <c r="AB186" i="2"/>
  <c r="BF185" i="2"/>
  <c r="AA171" i="2"/>
  <c r="X173" i="2"/>
  <c r="AI172" i="2"/>
  <c r="Q173" i="2"/>
  <c r="V171" i="2"/>
  <c r="AC172" i="2"/>
  <c r="AH172" i="2"/>
  <c r="AJ171" i="2"/>
  <c r="Q171" i="2"/>
  <c r="AB172" i="2"/>
  <c r="AC171" i="2"/>
  <c r="U171" i="2"/>
  <c r="V173" i="2"/>
  <c r="Y171" i="2"/>
  <c r="X172" i="2"/>
  <c r="S171" i="2"/>
  <c r="AB171" i="2"/>
  <c r="AH171" i="2"/>
  <c r="AJ172" i="2"/>
  <c r="Q172" i="2"/>
  <c r="Y172" i="2"/>
  <c r="S173" i="2"/>
  <c r="Y173" i="2"/>
  <c r="AG172" i="2"/>
  <c r="T172" i="2"/>
  <c r="V172" i="2"/>
  <c r="T171" i="2"/>
  <c r="W171" i="2"/>
  <c r="R171" i="2"/>
  <c r="Z171" i="2"/>
  <c r="AE172" i="2"/>
  <c r="R172" i="2"/>
  <c r="S172" i="2"/>
  <c r="AG171" i="2"/>
  <c r="X171" i="2"/>
  <c r="AF172" i="2"/>
  <c r="W173" i="2"/>
  <c r="AI171" i="2"/>
  <c r="AD171" i="2"/>
  <c r="AD172" i="2"/>
  <c r="U172" i="2"/>
  <c r="AE171" i="2"/>
  <c r="W172" i="2"/>
  <c r="P171" i="2"/>
  <c r="AF173" i="2"/>
  <c r="U173" i="2"/>
  <c r="AB173" i="2"/>
  <c r="AH173" i="2"/>
  <c r="AJ173" i="2"/>
  <c r="AC173" i="2"/>
  <c r="AI173" i="2"/>
  <c r="AA173" i="2"/>
  <c r="Z173" i="2"/>
  <c r="AG173" i="2"/>
  <c r="P173" i="2"/>
  <c r="AD173" i="2"/>
  <c r="AE173" i="2"/>
  <c r="R173" i="2"/>
  <c r="AF171" i="2"/>
  <c r="T173" i="2"/>
  <c r="AA172" i="2"/>
  <c r="CA185" i="2"/>
  <c r="BZ185" i="2"/>
  <c r="BM185" i="2"/>
  <c r="BS185" i="2"/>
  <c r="BA185" i="2"/>
  <c r="BR185" i="2"/>
  <c r="BB185" i="2"/>
  <c r="BO185" i="2"/>
  <c r="BT185" i="2"/>
  <c r="BX185" i="2"/>
  <c r="BD185" i="2"/>
  <c r="BQ185" i="2"/>
  <c r="AQ185" i="2"/>
  <c r="AX185" i="2"/>
  <c r="BG185" i="2"/>
  <c r="BK185" i="2"/>
  <c r="BT196" i="2"/>
  <c r="BT200" i="2" s="1"/>
  <c r="BT201" i="2"/>
  <c r="BT202" i="2"/>
  <c r="BC196" i="2"/>
  <c r="BC200" i="2" s="1"/>
  <c r="BC202" i="2"/>
  <c r="BC201" i="2"/>
  <c r="BX196" i="2"/>
  <c r="BX200" i="2" s="1"/>
  <c r="BX202" i="2"/>
  <c r="BX201" i="2"/>
  <c r="AX196" i="2"/>
  <c r="AX200" i="2" s="1"/>
  <c r="AX202" i="2"/>
  <c r="AX201" i="2"/>
  <c r="BJ196" i="2"/>
  <c r="BJ200" i="2" s="1"/>
  <c r="BJ202" i="2"/>
  <c r="BJ201" i="2"/>
  <c r="BK196" i="2"/>
  <c r="BK200" i="2" s="1"/>
  <c r="BK201" i="2"/>
  <c r="BK202" i="2"/>
  <c r="BH196" i="2"/>
  <c r="BH200" i="2" s="1"/>
  <c r="BH202" i="2"/>
  <c r="BH201" i="2"/>
  <c r="AV196" i="2"/>
  <c r="AV200" i="2" s="1"/>
  <c r="AV202" i="2"/>
  <c r="AV201" i="2"/>
  <c r="BN196" i="2"/>
  <c r="BN200" i="2" s="1"/>
  <c r="BN201" i="2"/>
  <c r="BN202" i="2"/>
  <c r="AY196" i="2"/>
  <c r="AY200" i="2" s="1"/>
  <c r="AY201" i="2"/>
  <c r="AY202" i="2"/>
  <c r="BR196" i="2"/>
  <c r="BR200" i="2" s="1"/>
  <c r="BR202" i="2"/>
  <c r="BR201" i="2"/>
  <c r="BS196" i="2"/>
  <c r="BS200" i="2" s="1"/>
  <c r="BS201" i="2"/>
  <c r="BS202" i="2"/>
  <c r="BM196" i="2"/>
  <c r="BM200" i="2" s="1"/>
  <c r="BM202" i="2"/>
  <c r="BM201" i="2"/>
  <c r="BD196" i="2"/>
  <c r="BD200" i="2" s="1"/>
  <c r="BD201" i="2"/>
  <c r="BD202" i="2"/>
  <c r="BE196" i="2"/>
  <c r="BE200" i="2" s="1"/>
  <c r="BE202" i="2"/>
  <c r="BE201" i="2"/>
  <c r="BA196" i="2"/>
  <c r="BA200" i="2" s="1"/>
  <c r="BA201" i="2"/>
  <c r="BA202" i="2"/>
  <c r="AW196" i="2"/>
  <c r="AW200" i="2" s="1"/>
  <c r="AW202" i="2"/>
  <c r="AW201" i="2"/>
  <c r="BV196" i="2"/>
  <c r="BV200" i="2" s="1"/>
  <c r="BV201" i="2"/>
  <c r="BV202" i="2"/>
  <c r="CC196" i="2"/>
  <c r="CC200" i="2" s="1"/>
  <c r="CC201" i="2"/>
  <c r="CC202" i="2"/>
  <c r="BJ185" i="2"/>
  <c r="AW185" i="2"/>
  <c r="AT196" i="2"/>
  <c r="AT200" i="2" s="1"/>
  <c r="AT201" i="2"/>
  <c r="AT202" i="2"/>
  <c r="BB196" i="2"/>
  <c r="BB200" i="2" s="1"/>
  <c r="BB201" i="2"/>
  <c r="BB202" i="2"/>
  <c r="AN196" i="2"/>
  <c r="AN200" i="2" s="1"/>
  <c r="AN201" i="2"/>
  <c r="AN202" i="2"/>
  <c r="CA196" i="2"/>
  <c r="CA200" i="2" s="1"/>
  <c r="CA201" i="2"/>
  <c r="CA202" i="2"/>
  <c r="BZ196" i="2"/>
  <c r="BZ200" i="2" s="1"/>
  <c r="BZ202" i="2"/>
  <c r="BZ201" i="2"/>
  <c r="BL196" i="2"/>
  <c r="BL200" i="2" s="1"/>
  <c r="BL202" i="2"/>
  <c r="BL201" i="2"/>
  <c r="BL185" i="2"/>
  <c r="BO196" i="2"/>
  <c r="BO200" i="2" s="1"/>
  <c r="BO201" i="2"/>
  <c r="BO202" i="2"/>
  <c r="AZ196" i="2"/>
  <c r="AZ200" i="2" s="1"/>
  <c r="AZ201" i="2"/>
  <c r="AZ202" i="2"/>
  <c r="AR196" i="2"/>
  <c r="AR200" i="2" s="1"/>
  <c r="AR201" i="2"/>
  <c r="AR202" i="2"/>
  <c r="AO196" i="2"/>
  <c r="AO200" i="2" s="1"/>
  <c r="AO201" i="2"/>
  <c r="AO202" i="2"/>
  <c r="AK196" i="2"/>
  <c r="AK200" i="2" s="1"/>
  <c r="AK201" i="2"/>
  <c r="AK202" i="2"/>
  <c r="BU196" i="2"/>
  <c r="BU200" i="2" s="1"/>
  <c r="BU201" i="2"/>
  <c r="BU202" i="2"/>
  <c r="AP196" i="2"/>
  <c r="AP200" i="2" s="1"/>
  <c r="AP202" i="2"/>
  <c r="AP201" i="2"/>
  <c r="AU196" i="2"/>
  <c r="AU200" i="2" s="1"/>
  <c r="AU201" i="2"/>
  <c r="AU202" i="2"/>
  <c r="BQ196" i="2"/>
  <c r="BQ200" i="2" s="1"/>
  <c r="BQ201" i="2"/>
  <c r="BQ202" i="2"/>
  <c r="CB196" i="2"/>
  <c r="CB200" i="2" s="1"/>
  <c r="CB202" i="2"/>
  <c r="CB201" i="2"/>
  <c r="BP196" i="2"/>
  <c r="BP200" i="2" s="1"/>
  <c r="BP201" i="2"/>
  <c r="BP202" i="2"/>
  <c r="AS185" i="2"/>
  <c r="BF196" i="2"/>
  <c r="BF200" i="2" s="1"/>
  <c r="BF202" i="2"/>
  <c r="BF201" i="2"/>
  <c r="BI196" i="2"/>
  <c r="BI200" i="2" s="1"/>
  <c r="BI202" i="2"/>
  <c r="BI201" i="2"/>
  <c r="AM196" i="2"/>
  <c r="AM200" i="2" s="1"/>
  <c r="AM201" i="2"/>
  <c r="AM202" i="2"/>
  <c r="BY196" i="2"/>
  <c r="BY200" i="2" s="1"/>
  <c r="BY201" i="2"/>
  <c r="BY202" i="2"/>
  <c r="AH185" i="2"/>
  <c r="BW185" i="2"/>
  <c r="AL196" i="2"/>
  <c r="AL200" i="2" s="1"/>
  <c r="AL201" i="2"/>
  <c r="AL202" i="2"/>
  <c r="AM185" i="2"/>
  <c r="BY185" i="2"/>
  <c r="AQ196" i="2"/>
  <c r="AQ200" i="2" s="1"/>
  <c r="AQ201" i="2"/>
  <c r="AQ202" i="2"/>
  <c r="BG196" i="2"/>
  <c r="BG200" i="2" s="1"/>
  <c r="BG202" i="2"/>
  <c r="BG201" i="2"/>
  <c r="AS196" i="2"/>
  <c r="AS200" i="2" s="1"/>
  <c r="AS201" i="2"/>
  <c r="AS202" i="2"/>
  <c r="BW196" i="2"/>
  <c r="BW200" i="2" s="1"/>
  <c r="BW201" i="2"/>
  <c r="BW202" i="2"/>
  <c r="CC185" i="2"/>
  <c r="BC185" i="2"/>
  <c r="BE186" i="2"/>
  <c r="BE184" i="2"/>
  <c r="BJ184" i="2"/>
  <c r="BJ186" i="2"/>
  <c r="AL184" i="2"/>
  <c r="AL186" i="2"/>
  <c r="BN184" i="2"/>
  <c r="BN186" i="2"/>
  <c r="AM184" i="2"/>
  <c r="AM186" i="2"/>
  <c r="BH184" i="2"/>
  <c r="BH186" i="2"/>
  <c r="AS186" i="2"/>
  <c r="AS184" i="2"/>
  <c r="BH185" i="2"/>
  <c r="AV186" i="2"/>
  <c r="AV184" i="2"/>
  <c r="BW184" i="2"/>
  <c r="BW186" i="2"/>
  <c r="AY184" i="2"/>
  <c r="AY186" i="2"/>
  <c r="CB186" i="2"/>
  <c r="CB184" i="2"/>
  <c r="AY185" i="2"/>
  <c r="AV185" i="2"/>
  <c r="AK186" i="2"/>
  <c r="AK184" i="2"/>
  <c r="AQ186" i="2"/>
  <c r="AQ184" i="2"/>
  <c r="CC184" i="2"/>
  <c r="CC186" i="2"/>
  <c r="BN185" i="2"/>
  <c r="AW186" i="2"/>
  <c r="AW184" i="2"/>
  <c r="BD184" i="2"/>
  <c r="BD186" i="2"/>
  <c r="AU184" i="2"/>
  <c r="AU186" i="2"/>
  <c r="BK186" i="2"/>
  <c r="BK184" i="2"/>
  <c r="AX186" i="2"/>
  <c r="AX184" i="2"/>
  <c r="BV184" i="2"/>
  <c r="BV186" i="2"/>
  <c r="BY184" i="2"/>
  <c r="BY186" i="2"/>
  <c r="BB186" i="2"/>
  <c r="BB184" i="2"/>
  <c r="BS184" i="2"/>
  <c r="BS186" i="2"/>
  <c r="BU184" i="2"/>
  <c r="BU186" i="2"/>
  <c r="BT184" i="2"/>
  <c r="BT186" i="2"/>
  <c r="AN185" i="2"/>
  <c r="BZ186" i="2"/>
  <c r="BZ184" i="2"/>
  <c r="BP184" i="2"/>
  <c r="BP186" i="2"/>
  <c r="AZ185" i="2"/>
  <c r="BV185" i="2"/>
  <c r="AR185" i="2"/>
  <c r="BR184" i="2"/>
  <c r="BR186" i="2"/>
  <c r="BX186" i="2"/>
  <c r="BX184" i="2"/>
  <c r="AT186" i="2"/>
  <c r="AT184" i="2"/>
  <c r="BA184" i="2"/>
  <c r="BA186" i="2"/>
  <c r="BL184" i="2"/>
  <c r="BL186" i="2"/>
  <c r="AZ186" i="2"/>
  <c r="AZ184" i="2"/>
  <c r="AN184" i="2"/>
  <c r="AN186" i="2"/>
  <c r="BG184" i="2"/>
  <c r="BG186" i="2"/>
  <c r="CA184" i="2"/>
  <c r="CA186" i="2"/>
  <c r="AK185" i="2"/>
  <c r="BQ184" i="2"/>
  <c r="BQ186" i="2"/>
  <c r="AP184" i="2"/>
  <c r="AP186" i="2"/>
  <c r="BM184" i="2"/>
  <c r="BM186" i="2"/>
  <c r="AO184" i="2"/>
  <c r="AO186" i="2"/>
  <c r="AO185" i="2"/>
  <c r="BF184" i="2"/>
  <c r="BF186" i="2"/>
  <c r="AR186" i="2"/>
  <c r="AR184" i="2"/>
  <c r="BU185" i="2"/>
  <c r="AP185" i="2"/>
  <c r="BP185" i="2"/>
  <c r="AU185" i="2"/>
  <c r="BC186" i="2"/>
  <c r="BC184" i="2"/>
  <c r="BI184" i="2"/>
  <c r="BI186" i="2"/>
  <c r="CB185" i="2"/>
  <c r="BO184" i="2"/>
  <c r="BO186" i="2"/>
  <c r="P180" i="2"/>
  <c r="P181" i="2"/>
  <c r="P188" i="2"/>
  <c r="P192" i="2" s="1"/>
  <c r="AJ186" i="2"/>
  <c r="AI184" i="2"/>
  <c r="Z186" i="2"/>
  <c r="AI186" i="2"/>
  <c r="Z185" i="2"/>
  <c r="AH186" i="2"/>
  <c r="AH201" i="2"/>
  <c r="AH202" i="2"/>
  <c r="AJ185" i="2"/>
  <c r="AD201" i="2"/>
  <c r="AD202" i="2"/>
  <c r="AD196" i="2"/>
  <c r="AD200" i="2" s="1"/>
  <c r="AD185" i="2"/>
  <c r="AA202" i="2"/>
  <c r="AA201" i="2"/>
  <c r="AD186" i="2"/>
  <c r="AC186" i="2"/>
  <c r="P189" i="2"/>
  <c r="P193" i="2" s="1"/>
  <c r="P186" i="2" s="1"/>
  <c r="AI202" i="2"/>
  <c r="AI201" i="2"/>
  <c r="P196" i="2" a="1"/>
  <c r="P196" i="2" s="1"/>
  <c r="P200" i="2" s="1"/>
  <c r="AC185" i="2"/>
  <c r="AE202" i="2"/>
  <c r="AE196" i="2"/>
  <c r="AE200" i="2" s="1"/>
  <c r="AJ201" i="2"/>
  <c r="AJ196" i="2"/>
  <c r="AJ200" i="2" s="1"/>
  <c r="AJ202" i="2"/>
  <c r="AG201" i="2"/>
  <c r="AG202" i="2"/>
  <c r="AG196" i="2"/>
  <c r="AG200" i="2" s="1"/>
  <c r="AB201" i="2"/>
  <c r="AB202" i="2"/>
  <c r="AE201" i="2"/>
  <c r="P172" i="2"/>
  <c r="AC202" i="2"/>
  <c r="AC201" i="2"/>
  <c r="AF201" i="2"/>
  <c r="AF202" i="2"/>
  <c r="Z202" i="2"/>
  <c r="Z196" i="2"/>
  <c r="Z200" i="2" s="1"/>
  <c r="Y185" i="2"/>
  <c r="Q185" i="2"/>
  <c r="X185" i="2"/>
  <c r="R202" i="2"/>
  <c r="R201" i="2"/>
  <c r="X202" i="2"/>
  <c r="X201" i="2"/>
  <c r="X196" i="2"/>
  <c r="X200" i="2" s="1"/>
  <c r="W184" i="2"/>
  <c r="W186" i="2"/>
  <c r="V184" i="2"/>
  <c r="V186" i="2"/>
  <c r="Y202" i="2"/>
  <c r="Y196" i="2"/>
  <c r="Y200" i="2" s="1"/>
  <c r="Y201" i="2"/>
  <c r="V185" i="2"/>
  <c r="U202" i="2"/>
  <c r="U201" i="2"/>
  <c r="U196" i="2"/>
  <c r="U200" i="2" s="1"/>
  <c r="T202" i="2"/>
  <c r="T201" i="2"/>
  <c r="T196" i="2"/>
  <c r="T200" i="2" s="1"/>
  <c r="U185" i="2"/>
  <c r="U186" i="2"/>
  <c r="U184" i="2"/>
  <c r="Y184" i="2"/>
  <c r="Y186" i="2"/>
  <c r="X186" i="2"/>
  <c r="X184" i="2"/>
  <c r="W185" i="2"/>
  <c r="T185" i="2"/>
  <c r="T186" i="2"/>
  <c r="T184" i="2"/>
  <c r="V196" i="2"/>
  <c r="V200" i="2" s="1"/>
  <c r="V201" i="2"/>
  <c r="V202" i="2"/>
  <c r="W201" i="2"/>
  <c r="W196" i="2"/>
  <c r="W200" i="2" s="1"/>
  <c r="W202" i="2"/>
  <c r="S184" i="2"/>
  <c r="S186" i="2"/>
  <c r="S202" i="2"/>
  <c r="S201" i="2"/>
  <c r="S196" i="2"/>
  <c r="S200" i="2" s="1"/>
  <c r="S185" i="2"/>
  <c r="R185" i="2"/>
  <c r="R184" i="2"/>
  <c r="R186" i="2"/>
  <c r="Q184" i="2"/>
  <c r="Q186" i="2"/>
  <c r="Q196" i="2"/>
  <c r="Q200" i="2" s="1"/>
  <c r="Q201" i="2"/>
  <c r="Q202" i="2"/>
  <c r="CZ204" i="2" l="1"/>
  <c r="CK204" i="2"/>
  <c r="CH204" i="2"/>
  <c r="CE204" i="2"/>
  <c r="CF204" i="2"/>
  <c r="CD204" i="2"/>
  <c r="CX204" i="2"/>
  <c r="CQ204" i="2"/>
  <c r="CT204" i="2"/>
  <c r="CV204" i="2"/>
  <c r="CG204" i="2"/>
  <c r="CU204" i="2"/>
  <c r="CS204" i="2"/>
  <c r="CY204" i="2"/>
  <c r="CR204" i="2"/>
  <c r="CM204" i="2"/>
  <c r="CO204" i="2"/>
  <c r="R204" i="2"/>
  <c r="AS204" i="2"/>
  <c r="BI204" i="2"/>
  <c r="CC204" i="2"/>
  <c r="AY204" i="2"/>
  <c r="BG204" i="2"/>
  <c r="AH204" i="2"/>
  <c r="AT204" i="2"/>
  <c r="BS204" i="2"/>
  <c r="AA204" i="2"/>
  <c r="BN204" i="2"/>
  <c r="AW204" i="2"/>
  <c r="BP204" i="2"/>
  <c r="BZ204" i="2"/>
  <c r="BA204" i="2"/>
  <c r="AO204" i="2"/>
  <c r="AV204" i="2"/>
  <c r="BL204" i="2"/>
  <c r="CB204" i="2"/>
  <c r="CA204" i="2"/>
  <c r="BE204" i="2"/>
  <c r="AK204" i="2"/>
  <c r="BH204" i="2"/>
  <c r="AM204" i="2"/>
  <c r="AN204" i="2"/>
  <c r="BD204" i="2"/>
  <c r="BW204" i="2"/>
  <c r="BK204" i="2"/>
  <c r="BQ204" i="2"/>
  <c r="BJ204" i="2"/>
  <c r="BB204" i="2"/>
  <c r="BM204" i="2"/>
  <c r="BF204" i="2"/>
  <c r="AR204" i="2"/>
  <c r="AX204" i="2"/>
  <c r="AZ204" i="2"/>
  <c r="BX204" i="2"/>
  <c r="BV204" i="2"/>
  <c r="AU204" i="2"/>
  <c r="AL204" i="2"/>
  <c r="AP204" i="2"/>
  <c r="BR204" i="2"/>
  <c r="BC204" i="2"/>
  <c r="BY204" i="2"/>
  <c r="AC204" i="2"/>
  <c r="AQ204" i="2"/>
  <c r="BU204" i="2"/>
  <c r="BO204" i="2"/>
  <c r="BT204" i="2"/>
  <c r="AD204" i="2"/>
  <c r="AI204" i="2"/>
  <c r="AG204" i="2"/>
  <c r="P185" i="2"/>
  <c r="P184" i="2"/>
  <c r="AF204" i="2"/>
  <c r="AE204" i="2"/>
  <c r="P202" i="2"/>
  <c r="P201" i="2"/>
  <c r="AJ204" i="2"/>
  <c r="AB204" i="2"/>
  <c r="Z204" i="2"/>
  <c r="S204" i="2"/>
  <c r="X204" i="2"/>
  <c r="Y204" i="2"/>
  <c r="U204" i="2"/>
  <c r="T204" i="2"/>
  <c r="V204" i="2"/>
  <c r="W204" i="2"/>
  <c r="Q204" i="2"/>
  <c r="P204" i="2" l="1"/>
  <c r="E1" i="3" s="1" a="1"/>
  <c r="E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<sst xmlns="http://schemas.openxmlformats.org/spreadsheetml/2006/main" count="62" uniqueCount="36">
  <si>
    <t>x</t>
    <phoneticPr fontId="1" type="noConversion"/>
  </si>
  <si>
    <t>y</t>
    <phoneticPr fontId="1" type="noConversion"/>
  </si>
  <si>
    <t>D65</t>
  </si>
  <si>
    <t>Relative Spectral Power Distribution</t>
  </si>
  <si>
    <t>A</t>
  </si>
  <si>
    <t>D50</t>
  </si>
  <si>
    <t>CIE 1931 Color Matching Functions</t>
  </si>
  <si>
    <t>CIE 1964 10°</t>
  </si>
  <si>
    <t>xbar</t>
  </si>
  <si>
    <t>ybar</t>
  </si>
  <si>
    <t>zbar</t>
  </si>
  <si>
    <t>Wavelength</t>
  </si>
  <si>
    <t>2°</t>
    <phoneticPr fontId="1" type="noConversion"/>
  </si>
  <si>
    <t>10°</t>
    <phoneticPr fontId="1" type="noConversion"/>
  </si>
  <si>
    <t>2° or 10°</t>
    <phoneticPr fontId="1" type="noConversion"/>
  </si>
  <si>
    <t>A or D50 or D 65</t>
    <phoneticPr fontId="1" type="noConversion"/>
  </si>
  <si>
    <t>D65</t>
    <phoneticPr fontId="1" type="noConversion"/>
  </si>
  <si>
    <t>a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</si>
  <si>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</si>
  <si>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</si>
  <si>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</si>
  <si>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L</t>
    <phoneticPr fontId="1" type="noConversion"/>
  </si>
  <si>
    <t>b</t>
    <phoneticPr fontId="1" type="noConversion"/>
  </si>
  <si>
    <t>R</t>
    <phoneticPr fontId="1" type="noConversion"/>
  </si>
  <si>
    <t>G</t>
    <phoneticPr fontId="1" type="noConversion"/>
  </si>
  <si>
    <t>B</t>
    <phoneticPr fontId="1" type="noConversion"/>
  </si>
  <si>
    <t>RGB</t>
    <phoneticPr fontId="1" type="noConversion"/>
  </si>
  <si>
    <t>N</t>
    <phoneticPr fontId="1" type="noConversion"/>
  </si>
  <si>
    <t>Xr</t>
    <phoneticPr fontId="1" type="noConversion"/>
  </si>
  <si>
    <t>Yr</t>
    <phoneticPr fontId="1" type="noConversion"/>
  </si>
  <si>
    <t>Zr</t>
    <phoneticPr fontId="1" type="noConversion"/>
  </si>
  <si>
    <t>ϵ</t>
    <phoneticPr fontId="1" type="noConversion"/>
  </si>
  <si>
    <t>κ</t>
  </si>
  <si>
    <t>fx</t>
    <phoneticPr fontId="1" type="noConversion"/>
  </si>
  <si>
    <t>fy</t>
    <phoneticPr fontId="1" type="noConversion"/>
  </si>
  <si>
    <t>fz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</si>
</sst>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"/>
    <numFmt numFmtId="177" formatCode="0.000"/>
    <numFmt numFmtId="178" formatCode="0.0000_);[Red]\(0.0000\)"/>
    <numFmt numFmtId="179" formatCode="0.000_);[Red]\(0.000\)"/>
  </numFmts>
  <fonts count="95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color rgb="FF000000"/>
      <name val="Arial Unicode MS"/>
      <family val="2"/>
    </font>
    <font>
      <sz val="11"/>
      <color rgb="FF000000"/>
      <name val="等线"/>
      <family val="3"/>
      <charset val="134"/>
    </font>
    <font>
      <sz val="11"/>
      <color rgb="FFA8C7D5"/>
      <name val="等线"/>
      <family val="2"/>
      <scheme val="minor"/>
    </font>
    <font>
      <sz val="11"/>
      <color rgb="FFA9C9D6"/>
      <name val="等线"/>
      <family val="2"/>
      <scheme val="minor"/>
    </font>
    <font>
      <sz val="11"/>
      <color rgb="FFA9CAD6"/>
      <name val="等线"/>
      <family val="2"/>
      <scheme val="minor"/>
    </font>
    <font>
      <sz val="11"/>
      <color rgb="FFAACAD7"/>
      <name val="等线"/>
      <family val="2"/>
      <scheme val="minor"/>
    </font>
    <font>
      <sz val="11"/>
      <color rgb="FFABCBD8"/>
      <name val="等线"/>
      <family val="2"/>
      <scheme val="minor"/>
    </font>
    <font>
      <sz val="11"/>
      <color rgb="FFACCCD9"/>
      <name val="等线"/>
      <family val="2"/>
      <scheme val="minor"/>
    </font>
    <font>
      <sz val="11"/>
      <color rgb="FFADCDD9"/>
      <name val="等线"/>
      <family val="2"/>
      <scheme val="minor"/>
    </font>
    <font>
      <sz val="11"/>
      <color rgb="FFADCEDA"/>
      <name val="等线"/>
      <family val="2"/>
      <scheme val="minor"/>
    </font>
    <font>
      <sz val="11"/>
      <color rgb="FFAECFDA"/>
      <name val="等线"/>
      <family val="2"/>
      <scheme val="minor"/>
    </font>
    <font>
      <sz val="11"/>
      <color rgb="FFAFCFDB"/>
      <name val="等线"/>
      <family val="2"/>
      <scheme val="minor"/>
    </font>
    <font>
      <sz val="11"/>
      <color rgb="FFB0D0DC"/>
      <name val="等线"/>
      <family val="2"/>
      <scheme val="minor"/>
    </font>
    <font>
      <sz val="11"/>
      <color rgb="FFB0D1DC"/>
      <name val="等线"/>
      <family val="2"/>
      <scheme val="minor"/>
    </font>
    <font>
      <sz val="11"/>
      <color rgb="FFB1D1DC"/>
      <name val="等线"/>
      <family val="2"/>
      <scheme val="minor"/>
    </font>
    <font>
      <sz val="11"/>
      <color rgb="FFB2D2DD"/>
      <name val="等线"/>
      <family val="2"/>
      <scheme val="minor"/>
    </font>
    <font>
      <sz val="11"/>
      <color rgb="FFB3D3DD"/>
      <name val="等线"/>
      <family val="2"/>
      <scheme val="minor"/>
    </font>
    <font>
      <sz val="11"/>
      <color rgb="FFB3D3DE"/>
      <name val="等线"/>
      <family val="2"/>
      <scheme val="minor"/>
    </font>
    <font>
      <sz val="11"/>
      <color rgb="FFB4D4DE"/>
      <name val="等线"/>
      <family val="2"/>
      <scheme val="minor"/>
    </font>
    <font>
      <sz val="11"/>
      <color rgb="FFB4D5DE"/>
      <name val="等线"/>
      <family val="2"/>
      <scheme val="minor"/>
    </font>
    <font>
      <sz val="11"/>
      <color rgb="FFB5D5DF"/>
      <name val="等线"/>
      <family val="2"/>
      <scheme val="minor"/>
    </font>
    <font>
      <sz val="11"/>
      <color rgb="FFB6D6DF"/>
      <name val="等线"/>
      <family val="2"/>
      <scheme val="minor"/>
    </font>
    <font>
      <sz val="11"/>
      <color rgb="FFB7D7E0"/>
      <name val="等线"/>
      <family val="2"/>
      <scheme val="minor"/>
    </font>
    <font>
      <sz val="11"/>
      <color rgb="FFB8D7E0"/>
      <name val="等线"/>
      <family val="2"/>
      <scheme val="minor"/>
    </font>
    <font>
      <sz val="11"/>
      <color rgb="FFB9D8E0"/>
      <name val="等线"/>
      <family val="2"/>
      <scheme val="minor"/>
    </font>
    <font>
      <sz val="11"/>
      <color rgb="FFBAD9E1"/>
      <name val="等线"/>
      <family val="2"/>
      <scheme val="minor"/>
    </font>
    <font>
      <sz val="11"/>
      <color rgb="FFBBD9E1"/>
      <name val="等线"/>
      <family val="2"/>
      <scheme val="minor"/>
    </font>
    <font>
      <sz val="11"/>
      <color rgb="FFBCDAE2"/>
      <name val="等线"/>
      <family val="2"/>
      <scheme val="minor"/>
    </font>
    <font>
      <sz val="11"/>
      <color rgb="FFBCDBE2"/>
      <name val="等线"/>
      <family val="2"/>
      <scheme val="minor"/>
    </font>
    <font>
      <sz val="11"/>
      <color rgb="FFBDDBE2"/>
      <name val="等线"/>
      <family val="2"/>
      <scheme val="minor"/>
    </font>
    <font>
      <sz val="11"/>
      <color rgb="FFBEDBE2"/>
      <name val="等线"/>
      <family val="2"/>
      <scheme val="minor"/>
    </font>
    <font>
      <sz val="11"/>
      <color rgb="FFBFDCE2"/>
      <name val="等线"/>
      <family val="2"/>
      <scheme val="minor"/>
    </font>
    <font>
      <sz val="11"/>
      <color rgb="FFC0DCE3"/>
      <name val="等线"/>
      <family val="2"/>
      <scheme val="minor"/>
    </font>
    <font>
      <sz val="11"/>
      <color rgb="FFC0DDE3"/>
      <name val="等线"/>
      <family val="2"/>
      <scheme val="minor"/>
    </font>
    <font>
      <sz val="11"/>
      <color rgb="FFC1DDE3"/>
      <name val="等线"/>
      <family val="2"/>
      <scheme val="minor"/>
    </font>
    <font>
      <sz val="11"/>
      <color rgb="FFC2DEE3"/>
      <name val="等线"/>
      <family val="2"/>
      <scheme val="minor"/>
    </font>
    <font>
      <sz val="11"/>
      <color rgb="FFC3DEE3"/>
      <name val="等线"/>
      <family val="2"/>
      <scheme val="minor"/>
    </font>
    <font>
      <sz val="11"/>
      <color rgb="FFC4DFE3"/>
      <name val="等线"/>
      <family val="2"/>
      <scheme val="minor"/>
    </font>
    <font>
      <sz val="11"/>
      <color rgb="FFC6E0E3"/>
      <name val="等线"/>
      <family val="2"/>
      <scheme val="minor"/>
    </font>
    <font>
      <sz val="11"/>
      <color rgb="FFC8E0E3"/>
      <name val="等线"/>
      <family val="2"/>
      <scheme val="minor"/>
    </font>
    <font>
      <sz val="11"/>
      <color rgb="FFC9E1E3"/>
      <name val="等线"/>
      <family val="2"/>
      <scheme val="minor"/>
    </font>
    <font>
      <sz val="11"/>
      <color rgb="FFCBE2E3"/>
      <name val="等线"/>
      <family val="2"/>
      <scheme val="minor"/>
    </font>
    <font>
      <sz val="11"/>
      <color rgb="FFCDE2E3"/>
      <name val="等线"/>
      <family val="2"/>
      <scheme val="minor"/>
    </font>
    <font>
      <sz val="11"/>
      <color rgb="FFCEE3E2"/>
      <name val="等线"/>
      <family val="2"/>
      <scheme val="minor"/>
    </font>
    <font>
      <sz val="11"/>
      <color rgb="FFD0E3E2"/>
      <name val="等线"/>
      <family val="2"/>
      <scheme val="minor"/>
    </font>
    <font>
      <sz val="11"/>
      <color rgb="FFD1E4E2"/>
      <name val="等线"/>
      <family val="2"/>
      <scheme val="minor"/>
    </font>
    <font>
      <sz val="11"/>
      <color rgb="FFD3E5E2"/>
      <name val="等线"/>
      <family val="2"/>
      <scheme val="minor"/>
    </font>
    <font>
      <sz val="11"/>
      <color rgb="FFD4E5E2"/>
      <name val="等线"/>
      <family val="2"/>
      <scheme val="minor"/>
    </font>
    <font>
      <sz val="11"/>
      <color rgb="FFD6E6E2"/>
      <name val="等线"/>
      <family val="2"/>
      <scheme val="minor"/>
    </font>
    <font>
      <sz val="11"/>
      <color rgb="FFD7E7E3"/>
      <name val="等线"/>
      <family val="2"/>
      <scheme val="minor"/>
    </font>
    <font>
      <sz val="11"/>
      <color rgb="FFD9E7E3"/>
      <name val="等线"/>
      <family val="2"/>
      <scheme val="minor"/>
    </font>
    <font>
      <sz val="11"/>
      <color rgb="FFDAE8E3"/>
      <name val="等线"/>
      <family val="2"/>
      <scheme val="minor"/>
    </font>
    <font>
      <sz val="11"/>
      <color rgb="FFDBE8E3"/>
      <name val="等线"/>
      <family val="2"/>
      <scheme val="minor"/>
    </font>
    <font>
      <sz val="11"/>
      <color rgb="FFDDEAE4"/>
      <name val="等线"/>
      <family val="2"/>
      <scheme val="minor"/>
    </font>
    <font>
      <sz val="11"/>
      <color rgb="FFDDE9E3"/>
      <name val="等线"/>
      <family val="2"/>
      <scheme val="minor"/>
    </font>
    <font>
      <sz val="11"/>
      <color rgb="FFDFEAE3"/>
      <name val="等线"/>
      <family val="2"/>
      <scheme val="minor"/>
    </font>
    <font>
      <sz val="11"/>
      <color rgb="FFE0EAE3"/>
      <name val="等线"/>
      <family val="2"/>
      <scheme val="minor"/>
    </font>
    <font>
      <sz val="11"/>
      <color rgb="FFE1EBE4"/>
      <name val="等线"/>
      <family val="2"/>
      <scheme val="minor"/>
    </font>
    <font>
      <sz val="11"/>
      <color rgb="FFE2EBE4"/>
      <name val="等线"/>
      <family val="2"/>
      <scheme val="minor"/>
    </font>
    <font>
      <sz val="11"/>
      <color rgb="FFE2EBE3"/>
      <name val="等线"/>
      <family val="2"/>
      <scheme val="minor"/>
    </font>
    <font>
      <sz val="11"/>
      <color rgb="FFE3ECE3"/>
      <name val="等线"/>
      <family val="2"/>
      <scheme val="minor"/>
    </font>
    <font>
      <sz val="11"/>
      <color rgb="FFE4ECE4"/>
      <name val="等线"/>
      <family val="2"/>
      <scheme val="minor"/>
    </font>
    <font>
      <sz val="11"/>
      <color rgb="FFE5EDE4"/>
      <name val="等线"/>
      <family val="2"/>
      <scheme val="minor"/>
    </font>
    <font>
      <sz val="11"/>
      <color rgb="FFE6EDE4"/>
      <name val="等线"/>
      <family val="2"/>
      <scheme val="minor"/>
    </font>
    <font>
      <sz val="11"/>
      <color rgb="FFE7EDE4"/>
      <name val="等线"/>
      <family val="2"/>
      <scheme val="minor"/>
    </font>
    <font>
      <sz val="11"/>
      <color rgb="FFE8EEE4"/>
      <name val="等线"/>
      <family val="2"/>
      <scheme val="minor"/>
    </font>
    <font>
      <sz val="11"/>
      <color rgb="FFE9EEE4"/>
      <name val="等线"/>
      <family val="2"/>
      <scheme val="minor"/>
    </font>
    <font>
      <sz val="11"/>
      <color rgb="FFEAEFE5"/>
      <name val="等线"/>
      <family val="2"/>
      <scheme val="minor"/>
    </font>
    <font>
      <sz val="11"/>
      <color rgb="FFEAEFE4"/>
      <name val="等线"/>
      <family val="2"/>
      <scheme val="minor"/>
    </font>
    <font>
      <sz val="11"/>
      <color rgb="FFEBEFE5"/>
      <name val="等线"/>
      <family val="2"/>
      <scheme val="minor"/>
    </font>
    <font>
      <sz val="11"/>
      <color rgb="FFEBF0E5"/>
      <name val="等线"/>
      <family val="2"/>
      <scheme val="minor"/>
    </font>
    <font>
      <sz val="11"/>
      <color rgb="FFEBEFE4"/>
      <name val="等线"/>
      <family val="2"/>
      <scheme val="minor"/>
    </font>
    <font>
      <sz val="11"/>
      <color rgb="FFECF0E5"/>
      <name val="等线"/>
      <family val="2"/>
      <scheme val="minor"/>
    </font>
    <font>
      <sz val="11"/>
      <color rgb="FFEDF0E5"/>
      <name val="等线"/>
      <family val="2"/>
      <scheme val="minor"/>
    </font>
    <font>
      <sz val="11"/>
      <color rgb="FFEDF0E4"/>
      <name val="等线"/>
      <family val="2"/>
      <scheme val="minor"/>
    </font>
    <font>
      <sz val="11"/>
      <color rgb="FFEDF1E5"/>
      <name val="等线"/>
      <family val="2"/>
      <scheme val="minor"/>
    </font>
    <font>
      <sz val="11"/>
      <color rgb="FFEEF1E5"/>
      <name val="等线"/>
      <family val="2"/>
      <scheme val="minor"/>
    </font>
    <font>
      <sz val="11"/>
      <color rgb="FFEFF1E5"/>
      <name val="等线"/>
      <family val="2"/>
      <scheme val="minor"/>
    </font>
    <font>
      <sz val="11"/>
      <color rgb="FFEEF0E4"/>
      <name val="等线"/>
      <family val="2"/>
      <scheme val="minor"/>
    </font>
    <font>
      <sz val="11"/>
      <color rgb="FFF8F8EC"/>
      <name val="等线"/>
      <family val="2"/>
      <scheme val="minor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rgb="FFBBDEF5"/>
      <name val="等线"/>
      <family val="2"/>
      <charset val="134"/>
      <scheme val="minor"/>
    </font>
    <font>
      <sz val="11"/>
      <color rgb="FFE5EBE8"/>
      <name val="等线"/>
      <family val="2"/>
      <charset val="134"/>
      <scheme val="minor"/>
    </font>
    <font>
      <sz val="11"/>
      <color rgb="FFCED9DA"/>
      <name val="等线"/>
      <family val="2"/>
      <charset val="134"/>
      <scheme val="minor"/>
    </font>
    <font>
      <sz val="11"/>
      <color rgb="FFAED8E1"/>
      <name val="等线"/>
      <family val="2"/>
      <scheme val="minor"/>
    </font>
    <font>
      <sz val="11"/>
      <color rgb="FFD0DED4"/>
      <name val="等线"/>
      <family val="2"/>
      <scheme val="minor"/>
    </font>
    <font>
      <sz val="11"/>
      <color rgb="FFDCD4BD"/>
      <name val="等线"/>
      <family val="2"/>
      <scheme val="minor"/>
    </font>
    <font>
      <sz val="11"/>
      <color rgb="FFF3ECE0"/>
      <name val="等线"/>
      <family val="2"/>
      <scheme val="minor"/>
    </font>
    <font>
      <sz val="11"/>
      <color rgb="FFF2EBE0"/>
      <name val="等线"/>
      <family val="2"/>
      <scheme val="minor"/>
    </font>
    <font>
      <sz val="11"/>
      <color rgb="FFB0D7E7"/>
      <name val="等线"/>
      <family val="2"/>
      <scheme val="minor"/>
    </font>
    <font>
      <sz val="11"/>
      <color rgb="FFA8D6E9"/>
      <name val="等线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8C7D5"/>
        <bgColor indexed="64"/>
      </patternFill>
    </fill>
    <fill>
      <patternFill patternType="solid">
        <fgColor rgb="FFA9C9D6"/>
        <bgColor indexed="64"/>
      </patternFill>
    </fill>
    <fill>
      <patternFill patternType="solid">
        <fgColor rgb="FFA9CAD6"/>
        <bgColor indexed="64"/>
      </patternFill>
    </fill>
    <fill>
      <patternFill patternType="solid">
        <fgColor rgb="FFAACAD7"/>
        <bgColor indexed="64"/>
      </patternFill>
    </fill>
    <fill>
      <patternFill patternType="solid">
        <fgColor rgb="FFABCBD8"/>
        <bgColor indexed="64"/>
      </patternFill>
    </fill>
    <fill>
      <patternFill patternType="solid">
        <fgColor rgb="FFACCCD9"/>
        <bgColor indexed="64"/>
      </patternFill>
    </fill>
    <fill>
      <patternFill patternType="solid">
        <fgColor rgb="FFADCDD9"/>
        <bgColor indexed="64"/>
      </patternFill>
    </fill>
    <fill>
      <patternFill patternType="solid">
        <fgColor rgb="FFADCEDA"/>
        <bgColor indexed="64"/>
      </patternFill>
    </fill>
    <fill>
      <patternFill patternType="solid">
        <fgColor rgb="FFAECFDA"/>
        <bgColor indexed="64"/>
      </patternFill>
    </fill>
    <fill>
      <patternFill patternType="solid">
        <fgColor rgb="FFAFCFDB"/>
        <bgColor indexed="64"/>
      </patternFill>
    </fill>
    <fill>
      <patternFill patternType="solid">
        <fgColor rgb="FFB0D0DC"/>
        <bgColor indexed="64"/>
      </patternFill>
    </fill>
    <fill>
      <patternFill patternType="solid">
        <fgColor rgb="FFB0D1DC"/>
        <bgColor indexed="64"/>
      </patternFill>
    </fill>
    <fill>
      <patternFill patternType="solid">
        <fgColor rgb="FFB1D1DC"/>
        <bgColor indexed="64"/>
      </patternFill>
    </fill>
    <fill>
      <patternFill patternType="solid">
        <fgColor rgb="FFB2D2DD"/>
        <bgColor indexed="64"/>
      </patternFill>
    </fill>
    <fill>
      <patternFill patternType="solid">
        <fgColor rgb="FFB3D3DD"/>
        <bgColor indexed="64"/>
      </patternFill>
    </fill>
    <fill>
      <patternFill patternType="solid">
        <fgColor rgb="FFB3D3DE"/>
        <bgColor indexed="64"/>
      </patternFill>
    </fill>
    <fill>
      <patternFill patternType="solid">
        <fgColor rgb="FFB4D4DE"/>
        <bgColor indexed="64"/>
      </patternFill>
    </fill>
    <fill>
      <patternFill patternType="solid">
        <fgColor rgb="FFB4D5DE"/>
        <bgColor indexed="64"/>
      </patternFill>
    </fill>
    <fill>
      <patternFill patternType="solid">
        <fgColor rgb="FFB5D5DF"/>
        <bgColor indexed="64"/>
      </patternFill>
    </fill>
    <fill>
      <patternFill patternType="solid">
        <fgColor rgb="FFB6D6DF"/>
        <bgColor indexed="64"/>
      </patternFill>
    </fill>
    <fill>
      <patternFill patternType="solid">
        <fgColor rgb="FFB7D7E0"/>
        <bgColor indexed="64"/>
      </patternFill>
    </fill>
    <fill>
      <patternFill patternType="solid">
        <fgColor rgb="FFB8D7E0"/>
        <bgColor indexed="64"/>
      </patternFill>
    </fill>
    <fill>
      <patternFill patternType="solid">
        <fgColor rgb="FFB9D8E0"/>
        <bgColor indexed="64"/>
      </patternFill>
    </fill>
    <fill>
      <patternFill patternType="solid">
        <fgColor rgb="FFBAD9E1"/>
        <bgColor indexed="64"/>
      </patternFill>
    </fill>
    <fill>
      <patternFill patternType="solid">
        <fgColor rgb="FFBBD9E1"/>
        <bgColor indexed="64"/>
      </patternFill>
    </fill>
    <fill>
      <patternFill patternType="solid">
        <fgColor rgb="FFBCDAE2"/>
        <bgColor indexed="64"/>
      </patternFill>
    </fill>
    <fill>
      <patternFill patternType="solid">
        <fgColor rgb="FFBCDBE2"/>
        <bgColor indexed="64"/>
      </patternFill>
    </fill>
    <fill>
      <patternFill patternType="solid">
        <fgColor rgb="FFBDDBE2"/>
        <bgColor indexed="64"/>
      </patternFill>
    </fill>
    <fill>
      <patternFill patternType="solid">
        <fgColor rgb="FFBEDBE2"/>
        <bgColor indexed="64"/>
      </patternFill>
    </fill>
    <fill>
      <patternFill patternType="solid">
        <fgColor rgb="FFBFDCE2"/>
        <bgColor indexed="64"/>
      </patternFill>
    </fill>
    <fill>
      <patternFill patternType="solid">
        <fgColor rgb="FFC0DCE3"/>
        <bgColor indexed="64"/>
      </patternFill>
    </fill>
    <fill>
      <patternFill patternType="solid">
        <fgColor rgb="FFC0DDE3"/>
        <bgColor indexed="64"/>
      </patternFill>
    </fill>
    <fill>
      <patternFill patternType="solid">
        <fgColor rgb="FFC1DDE3"/>
        <bgColor indexed="64"/>
      </patternFill>
    </fill>
    <fill>
      <patternFill patternType="solid">
        <fgColor rgb="FFC2DEE3"/>
        <bgColor indexed="64"/>
      </patternFill>
    </fill>
    <fill>
      <patternFill patternType="solid">
        <fgColor rgb="FFC3DEE3"/>
        <bgColor indexed="64"/>
      </patternFill>
    </fill>
    <fill>
      <patternFill patternType="solid">
        <fgColor rgb="FFC4DFE3"/>
        <bgColor indexed="64"/>
      </patternFill>
    </fill>
    <fill>
      <patternFill patternType="solid">
        <fgColor rgb="FFC6E0E3"/>
        <bgColor indexed="64"/>
      </patternFill>
    </fill>
    <fill>
      <patternFill patternType="solid">
        <fgColor rgb="FFC8E0E3"/>
        <bgColor indexed="64"/>
      </patternFill>
    </fill>
    <fill>
      <patternFill patternType="solid">
        <fgColor rgb="FFC9E1E3"/>
        <bgColor indexed="64"/>
      </patternFill>
    </fill>
    <fill>
      <patternFill patternType="solid">
        <fgColor rgb="FFCBE2E3"/>
        <bgColor indexed="64"/>
      </patternFill>
    </fill>
    <fill>
      <patternFill patternType="solid">
        <fgColor rgb="FFCDE2E3"/>
        <bgColor indexed="64"/>
      </patternFill>
    </fill>
    <fill>
      <patternFill patternType="solid">
        <fgColor rgb="FFCEE3E2"/>
        <bgColor indexed="64"/>
      </patternFill>
    </fill>
    <fill>
      <patternFill patternType="solid">
        <fgColor rgb="FFD0E3E2"/>
        <bgColor indexed="64"/>
      </patternFill>
    </fill>
    <fill>
      <patternFill patternType="solid">
        <fgColor rgb="FFD1E4E2"/>
        <bgColor indexed="64"/>
      </patternFill>
    </fill>
    <fill>
      <patternFill patternType="solid">
        <fgColor rgb="FFD3E5E2"/>
        <bgColor indexed="64"/>
      </patternFill>
    </fill>
    <fill>
      <patternFill patternType="solid">
        <fgColor rgb="FFD4E5E2"/>
        <bgColor indexed="64"/>
      </patternFill>
    </fill>
    <fill>
      <patternFill patternType="solid">
        <fgColor rgb="FFD6E6E2"/>
        <bgColor indexed="64"/>
      </patternFill>
    </fill>
    <fill>
      <patternFill patternType="solid">
        <fgColor rgb="FFD7E7E3"/>
        <bgColor indexed="64"/>
      </patternFill>
    </fill>
    <fill>
      <patternFill patternType="solid">
        <fgColor rgb="FFD9E7E3"/>
        <bgColor indexed="64"/>
      </patternFill>
    </fill>
    <fill>
      <patternFill patternType="solid">
        <fgColor rgb="FFDAE8E3"/>
        <bgColor indexed="64"/>
      </patternFill>
    </fill>
    <fill>
      <patternFill patternType="solid">
        <fgColor rgb="FFDBE8E3"/>
        <bgColor indexed="64"/>
      </patternFill>
    </fill>
    <fill>
      <patternFill patternType="solid">
        <fgColor rgb="FFDDEAE4"/>
        <bgColor indexed="64"/>
      </patternFill>
    </fill>
    <fill>
      <patternFill patternType="solid">
        <fgColor rgb="FFDDE9E3"/>
        <bgColor indexed="64"/>
      </patternFill>
    </fill>
    <fill>
      <patternFill patternType="solid">
        <fgColor rgb="FFDFEAE3"/>
        <bgColor indexed="64"/>
      </patternFill>
    </fill>
    <fill>
      <patternFill patternType="solid">
        <fgColor rgb="FFE0EAE3"/>
        <bgColor indexed="64"/>
      </patternFill>
    </fill>
    <fill>
      <patternFill patternType="solid">
        <fgColor rgb="FFE1EBE4"/>
        <bgColor indexed="64"/>
      </patternFill>
    </fill>
    <fill>
      <patternFill patternType="solid">
        <fgColor rgb="FFE2EBE4"/>
        <bgColor indexed="64"/>
      </patternFill>
    </fill>
    <fill>
      <patternFill patternType="solid">
        <fgColor rgb="FFE2EBE3"/>
        <bgColor indexed="64"/>
      </patternFill>
    </fill>
    <fill>
      <patternFill patternType="solid">
        <fgColor rgb="FFE3ECE3"/>
        <bgColor indexed="64"/>
      </patternFill>
    </fill>
    <fill>
      <patternFill patternType="solid">
        <fgColor rgb="FFE4ECE4"/>
        <bgColor indexed="64"/>
      </patternFill>
    </fill>
    <fill>
      <patternFill patternType="solid">
        <fgColor rgb="FFE5EDE4"/>
        <bgColor indexed="64"/>
      </patternFill>
    </fill>
    <fill>
      <patternFill patternType="solid">
        <fgColor rgb="FFE6EDE4"/>
        <bgColor indexed="64"/>
      </patternFill>
    </fill>
    <fill>
      <patternFill patternType="solid">
        <fgColor rgb="FFE7EDE4"/>
        <bgColor indexed="64"/>
      </patternFill>
    </fill>
    <fill>
      <patternFill patternType="solid">
        <fgColor rgb="FFE8EEE4"/>
        <bgColor indexed="64"/>
      </patternFill>
    </fill>
    <fill>
      <patternFill patternType="solid">
        <fgColor rgb="FFE9EEE4"/>
        <bgColor indexed="64"/>
      </patternFill>
    </fill>
    <fill>
      <patternFill patternType="solid">
        <fgColor rgb="FFEAEFE5"/>
        <bgColor indexed="64"/>
      </patternFill>
    </fill>
    <fill>
      <patternFill patternType="solid">
        <fgColor rgb="FFEAEFE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EBF0E5"/>
        <bgColor indexed="64"/>
      </patternFill>
    </fill>
    <fill>
      <patternFill patternType="solid">
        <fgColor rgb="FFEBEFE4"/>
        <bgColor indexed="64"/>
      </patternFill>
    </fill>
    <fill>
      <patternFill patternType="solid">
        <fgColor rgb="FFECF0E5"/>
        <bgColor indexed="64"/>
      </patternFill>
    </fill>
    <fill>
      <patternFill patternType="solid">
        <fgColor rgb="FFEDF0E5"/>
        <bgColor indexed="64"/>
      </patternFill>
    </fill>
    <fill>
      <patternFill patternType="solid">
        <fgColor rgb="FFEDF0E4"/>
        <bgColor indexed="64"/>
      </patternFill>
    </fill>
    <fill>
      <patternFill patternType="solid">
        <fgColor rgb="FFEDF1E5"/>
        <bgColor indexed="64"/>
      </patternFill>
    </fill>
    <fill>
      <patternFill patternType="solid">
        <fgColor rgb="FFEEF1E5"/>
        <bgColor indexed="64"/>
      </patternFill>
    </fill>
    <fill>
      <patternFill patternType="solid">
        <fgColor rgb="FFEFF1E5"/>
        <bgColor indexed="64"/>
      </patternFill>
    </fill>
    <fill>
      <patternFill patternType="solid">
        <fgColor rgb="FFEEF0E4"/>
        <bgColor indexed="64"/>
      </patternFill>
    </fill>
    <fill>
      <patternFill patternType="solid">
        <fgColor rgb="FFF8F8EC"/>
        <bgColor indexed="64"/>
      </patternFill>
    </fill>
    <fill>
      <patternFill patternType="solid">
        <fgColor rgb="FFBBDEF5"/>
        <bgColor indexed="64"/>
      </patternFill>
    </fill>
    <fill>
      <patternFill patternType="solid">
        <fgColor rgb="FFE5EBE8"/>
        <bgColor indexed="64"/>
      </patternFill>
    </fill>
    <fill>
      <patternFill patternType="solid">
        <fgColor rgb="FFCED9DA"/>
        <bgColor indexed="64"/>
      </patternFill>
    </fill>
    <fill>
      <patternFill patternType="solid">
        <fgColor rgb="FFAED8E1"/>
        <bgColor indexed="64"/>
      </patternFill>
    </fill>
    <fill>
      <patternFill patternType="solid">
        <fgColor rgb="FFD0DED4"/>
        <bgColor indexed="64"/>
      </patternFill>
    </fill>
    <fill>
      <patternFill patternType="solid">
        <fgColor rgb="FFDCD4BD"/>
        <bgColor indexed="64"/>
      </patternFill>
    </fill>
    <fill>
      <patternFill patternType="solid">
        <fgColor rgb="FFF3ECE0"/>
        <bgColor indexed="64"/>
      </patternFill>
    </fill>
    <fill>
      <patternFill patternType="solid">
        <fgColor rgb="FFF2EBE0"/>
        <bgColor indexed="64"/>
      </patternFill>
    </fill>
    <fill>
      <patternFill patternType="solid">
        <fgColor rgb="FFB0D7E7"/>
        <bgColor indexed="64"/>
      </patternFill>
    </fill>
    <fill>
      <patternFill patternType="solid">
        <fgColor rgb="FFA8D6E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11" fontId="0" fillId="0" borderId="0" xfId="0" applyNumberFormat="1"/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0" fillId="5" borderId="0" xfId="0" applyFill="1"/>
    <xf numFmtId="177" fontId="0" fillId="0" borderId="0" xfId="0" applyNumberFormat="1"/>
    <xf numFmtId="177" fontId="0" fillId="2" borderId="0" xfId="0" applyNumberFormat="1" applyFill="1"/>
    <xf numFmtId="178" fontId="0" fillId="0" borderId="0" xfId="0" applyNumberFormat="1"/>
    <xf numFmtId="0" fontId="2" fillId="5" borderId="0" xfId="0" applyFont="1" applyFill="1"/>
    <xf numFmtId="0" fontId="3" fillId="0" borderId="0" xfId="0" applyFont="1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Border="1"/>
    <xf numFmtId="0" fontId="0" fillId="0" borderId="0" xfId="0" applyNumberFormat="1"/>
    <xf numFmtId="0" fontId="2" fillId="3" borderId="0" xfId="0" applyFont="1" applyFill="1" applyBorder="1" applyAlignment="1">
      <alignment vertical="center"/>
    </xf>
    <xf numFmtId="179" fontId="0" fillId="0" borderId="0" xfId="0" applyNumberFormat="1" applyAlignment="1">
      <alignment vertical="center"/>
    </xf>
    <xf numFmtId="0" fontId="5" fillId="6" borderId="0" xfId="0" applyFont="1" applyFill="1"/>
    <xf numFmtId="0" fontId="6" fillId="7" borderId="0" xfId="0" applyFont="1" applyFill="1"/>
    <xf numFmtId="0" fontId="7" fillId="8" borderId="0" xfId="0" applyFont="1" applyFill="1"/>
    <xf numFmtId="0" fontId="8" fillId="9" borderId="0" xfId="0" applyFont="1" applyFill="1"/>
    <xf numFmtId="0" fontId="9" fillId="10" borderId="0" xfId="0" applyFont="1" applyFill="1"/>
    <xf numFmtId="0" fontId="10" fillId="11" borderId="0" xfId="0" applyFont="1" applyFill="1"/>
    <xf numFmtId="0" fontId="11" fillId="12" borderId="0" xfId="0" applyFont="1" applyFill="1"/>
    <xf numFmtId="0" fontId="12" fillId="13" borderId="0" xfId="0" applyFont="1" applyFill="1"/>
    <xf numFmtId="0" fontId="13" fillId="14" borderId="0" xfId="0" applyFont="1" applyFill="1"/>
    <xf numFmtId="0" fontId="14" fillId="15" borderId="0" xfId="0" applyFont="1" applyFill="1"/>
    <xf numFmtId="0" fontId="15" fillId="16" borderId="0" xfId="0" applyFont="1" applyFill="1"/>
    <xf numFmtId="0" fontId="16" fillId="17" borderId="0" xfId="0" applyFont="1" applyFill="1"/>
    <xf numFmtId="0" fontId="17" fillId="18" borderId="0" xfId="0" applyFont="1" applyFill="1"/>
    <xf numFmtId="0" fontId="18" fillId="19" borderId="0" xfId="0" applyFont="1" applyFill="1"/>
    <xf numFmtId="0" fontId="19" fillId="20" borderId="0" xfId="0" applyFont="1" applyFill="1"/>
    <xf numFmtId="0" fontId="20" fillId="21" borderId="0" xfId="0" applyFont="1" applyFill="1"/>
    <xf numFmtId="0" fontId="21" fillId="22" borderId="0" xfId="0" applyFont="1" applyFill="1"/>
    <xf numFmtId="0" fontId="22" fillId="23" borderId="0" xfId="0" applyFont="1" applyFill="1"/>
    <xf numFmtId="0" fontId="23" fillId="24" borderId="0" xfId="0" applyFont="1" applyFill="1"/>
    <xf numFmtId="0" fontId="24" fillId="25" borderId="0" xfId="0" applyFont="1" applyFill="1"/>
    <xf numFmtId="0" fontId="25" fillId="26" borderId="0" xfId="0" applyFont="1" applyFill="1"/>
    <xf numFmtId="0" fontId="26" fillId="27" borderId="0" xfId="0" applyFont="1" applyFill="1"/>
    <xf numFmtId="0" fontId="27" fillId="28" borderId="0" xfId="0" applyFont="1" applyFill="1"/>
    <xf numFmtId="0" fontId="28" fillId="29" borderId="0" xfId="0" applyFont="1" applyFill="1"/>
    <xf numFmtId="0" fontId="29" fillId="30" borderId="0" xfId="0" applyFont="1" applyFill="1"/>
    <xf numFmtId="0" fontId="30" fillId="31" borderId="0" xfId="0" applyFont="1" applyFill="1"/>
    <xf numFmtId="0" fontId="31" fillId="32" borderId="0" xfId="0" applyFont="1" applyFill="1"/>
    <xf numFmtId="0" fontId="32" fillId="33" borderId="0" xfId="0" applyFont="1" applyFill="1"/>
    <xf numFmtId="0" fontId="33" fillId="34" borderId="0" xfId="0" applyFont="1" applyFill="1"/>
    <xf numFmtId="0" fontId="34" fillId="35" borderId="0" xfId="0" applyFont="1" applyFill="1"/>
    <xf numFmtId="0" fontId="35" fillId="36" borderId="0" xfId="0" applyFont="1" applyFill="1"/>
    <xf numFmtId="0" fontId="36" fillId="37" borderId="0" xfId="0" applyFont="1" applyFill="1"/>
    <xf numFmtId="0" fontId="37" fillId="38" borderId="0" xfId="0" applyFont="1" applyFill="1"/>
    <xf numFmtId="0" fontId="38" fillId="39" borderId="0" xfId="0" applyFont="1" applyFill="1"/>
    <xf numFmtId="0" fontId="39" fillId="40" borderId="0" xfId="0" applyFont="1" applyFill="1"/>
    <xf numFmtId="0" fontId="40" fillId="41" borderId="0" xfId="0" applyFont="1" applyFill="1"/>
    <xf numFmtId="0" fontId="41" fillId="42" borderId="0" xfId="0" applyFont="1" applyFill="1"/>
    <xf numFmtId="0" fontId="42" fillId="43" borderId="0" xfId="0" applyFont="1" applyFill="1"/>
    <xf numFmtId="0" fontId="43" fillId="44" borderId="0" xfId="0" applyFont="1" applyFill="1"/>
    <xf numFmtId="0" fontId="44" fillId="45" borderId="0" xfId="0" applyFont="1" applyFill="1"/>
    <xf numFmtId="0" fontId="45" fillId="46" borderId="0" xfId="0" applyFont="1" applyFill="1"/>
    <xf numFmtId="0" fontId="46" fillId="47" borderId="0" xfId="0" applyFont="1" applyFill="1"/>
    <xf numFmtId="0" fontId="47" fillId="48" borderId="0" xfId="0" applyFont="1" applyFill="1"/>
    <xf numFmtId="0" fontId="48" fillId="49" borderId="0" xfId="0" applyFont="1" applyFill="1"/>
    <xf numFmtId="0" fontId="49" fillId="50" borderId="0" xfId="0" applyFont="1" applyFill="1"/>
    <xf numFmtId="0" fontId="50" fillId="51" borderId="0" xfId="0" applyFont="1" applyFill="1"/>
    <xf numFmtId="0" fontId="51" fillId="52" borderId="0" xfId="0" applyFont="1" applyFill="1"/>
    <xf numFmtId="0" fontId="52" fillId="53" borderId="0" xfId="0" applyFont="1" applyFill="1"/>
    <xf numFmtId="0" fontId="53" fillId="54" borderId="0" xfId="0" applyFont="1" applyFill="1"/>
    <xf numFmtId="0" fontId="54" fillId="55" borderId="0" xfId="0" applyFont="1" applyFill="1"/>
    <xf numFmtId="0" fontId="55" fillId="56" borderId="0" xfId="0" applyFont="1" applyFill="1"/>
    <xf numFmtId="0" fontId="56" fillId="57" borderId="0" xfId="0" applyFont="1" applyFill="1"/>
    <xf numFmtId="0" fontId="57" fillId="58" borderId="0" xfId="0" applyFont="1" applyFill="1"/>
    <xf numFmtId="0" fontId="58" fillId="59" borderId="0" xfId="0" applyFont="1" applyFill="1"/>
    <xf numFmtId="0" fontId="59" fillId="60" borderId="0" xfId="0" applyFont="1" applyFill="1"/>
    <xf numFmtId="0" fontId="60" fillId="61" borderId="0" xfId="0" applyFont="1" applyFill="1"/>
    <xf numFmtId="0" fontId="61" fillId="62" borderId="0" xfId="0" applyFont="1" applyFill="1"/>
    <xf numFmtId="0" fontId="62" fillId="63" borderId="0" xfId="0" applyFont="1" applyFill="1"/>
    <xf numFmtId="0" fontId="63" fillId="64" borderId="0" xfId="0" applyFont="1" applyFill="1"/>
    <xf numFmtId="0" fontId="64" fillId="65" borderId="0" xfId="0" applyFont="1" applyFill="1"/>
    <xf numFmtId="0" fontId="65" fillId="66" borderId="0" xfId="0" applyFont="1" applyFill="1"/>
    <xf numFmtId="0" fontId="66" fillId="67" borderId="0" xfId="0" applyFont="1" applyFill="1"/>
    <xf numFmtId="0" fontId="67" fillId="68" borderId="0" xfId="0" applyFont="1" applyFill="1"/>
    <xf numFmtId="0" fontId="68" fillId="69" borderId="0" xfId="0" applyFont="1" applyFill="1"/>
    <xf numFmtId="0" fontId="69" fillId="70" borderId="0" xfId="0" applyFont="1" applyFill="1"/>
    <xf numFmtId="0" fontId="70" fillId="71" borderId="0" xfId="0" applyFont="1" applyFill="1"/>
    <xf numFmtId="0" fontId="71" fillId="72" borderId="0" xfId="0" applyFont="1" applyFill="1"/>
    <xf numFmtId="0" fontId="72" fillId="73" borderId="0" xfId="0" applyFont="1" applyFill="1"/>
    <xf numFmtId="0" fontId="73" fillId="74" borderId="0" xfId="0" applyFont="1" applyFill="1"/>
    <xf numFmtId="0" fontId="74" fillId="75" borderId="0" xfId="0" applyFont="1" applyFill="1"/>
    <xf numFmtId="0" fontId="75" fillId="76" borderId="0" xfId="0" applyFont="1" applyFill="1"/>
    <xf numFmtId="0" fontId="76" fillId="77" borderId="0" xfId="0" applyFont="1" applyFill="1"/>
    <xf numFmtId="0" fontId="77" fillId="78" borderId="0" xfId="0" applyFont="1" applyFill="1"/>
    <xf numFmtId="0" fontId="78" fillId="79" borderId="0" xfId="0" applyFont="1" applyFill="1"/>
    <xf numFmtId="0" fontId="79" fillId="80" borderId="0" xfId="0" applyFont="1" applyFill="1"/>
    <xf numFmtId="0" fontId="80" fillId="81" borderId="0" xfId="0" applyFont="1" applyFill="1"/>
    <xf numFmtId="0" fontId="81" fillId="82" borderId="0" xfId="0" applyFont="1" applyFill="1"/>
    <xf numFmtId="0" fontId="82" fillId="83" borderId="0" xfId="0" applyFont="1" applyFill="1"/>
    <xf numFmtId="0" fontId="83" fillId="0" borderId="0" xfId="0" applyFont="1" applyFill="1"/>
    <xf numFmtId="0" fontId="84" fillId="0" borderId="0" xfId="0" applyFont="1" applyFill="1"/>
    <xf numFmtId="0" fontId="85" fillId="84" borderId="0" xfId="0" applyFont="1" applyFill="1" applyBorder="1" applyAlignment="1">
      <alignment vertical="center"/>
    </xf>
    <xf numFmtId="0" fontId="86" fillId="85" borderId="0" xfId="0" applyFont="1" applyFill="1" applyBorder="1" applyAlignment="1">
      <alignment vertical="center"/>
    </xf>
    <xf numFmtId="0" fontId="87" fillId="86" borderId="0" xfId="0" applyFont="1" applyFill="1" applyBorder="1" applyAlignment="1">
      <alignment vertical="center"/>
    </xf>
    <xf numFmtId="0" fontId="88" fillId="87" borderId="0" xfId="0" applyFont="1" applyFill="1" applyBorder="1"/>
    <xf numFmtId="0" fontId="89" fillId="88" borderId="0" xfId="0" applyFont="1" applyFill="1" applyBorder="1"/>
    <xf numFmtId="0" fontId="90" fillId="89" borderId="0" xfId="0" applyFont="1" applyFill="1" applyBorder="1"/>
    <xf numFmtId="0" fontId="91" fillId="90" borderId="0" xfId="0" applyFont="1" applyFill="1" applyBorder="1"/>
    <xf numFmtId="0" fontId="92" fillId="91" borderId="0" xfId="0" applyFont="1" applyFill="1" applyBorder="1"/>
    <xf numFmtId="0" fontId="93" fillId="92" borderId="0" xfId="0" applyFont="1" applyFill="1" applyBorder="1"/>
    <xf numFmtId="0" fontId="94" fillId="93" borderId="0" xfId="0" applyFont="1" applyFill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2</xdr:row>
          <xdr:rowOff>123825</xdr:rowOff>
        </xdr:from>
        <xdr:to>
          <xdr:col>12</xdr:col>
          <xdr:colOff>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生成颜色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124810</xdr:colOff>
      <xdr:row>4</xdr:row>
      <xdr:rowOff>137948</xdr:rowOff>
    </xdr:from>
    <xdr:to>
      <xdr:col>2</xdr:col>
      <xdr:colOff>440121</xdr:colOff>
      <xdr:row>17</xdr:row>
      <xdr:rowOff>32843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B01B4970-7792-FA88-1265-98D4DBAF4731}"/>
            </a:ext>
          </a:extLst>
        </xdr:cNvPr>
        <xdr:cNvSpPr txBox="1"/>
      </xdr:nvSpPr>
      <xdr:spPr>
        <a:xfrm>
          <a:off x="124810" y="873672"/>
          <a:ext cx="2200604" cy="22859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1. </a:t>
          </a:r>
          <a:r>
            <a:rPr lang="zh-CN" altLang="en-US" sz="1100"/>
            <a:t>选择观察角度和光源</a:t>
          </a:r>
          <a:endParaRPr lang="en-US" altLang="zh-CN" sz="1100"/>
        </a:p>
        <a:p>
          <a:r>
            <a:rPr lang="en-US" altLang="zh-CN" sz="1100"/>
            <a:t>2. </a:t>
          </a:r>
          <a:r>
            <a:rPr lang="zh-CN" altLang="en-US" sz="1100"/>
            <a:t>拷入</a:t>
          </a:r>
          <a:r>
            <a:rPr lang="en-US" altLang="zh-CN" sz="1100"/>
            <a:t>380-780 nm</a:t>
          </a:r>
          <a:r>
            <a:rPr lang="zh-CN" altLang="en-US" sz="1100"/>
            <a:t>的吸光度</a:t>
          </a:r>
          <a:endParaRPr lang="en-US" altLang="zh-CN" sz="1100"/>
        </a:p>
        <a:p>
          <a:r>
            <a:rPr lang="en-US" altLang="zh-CN" sz="1100"/>
            <a:t>3. </a:t>
          </a:r>
          <a:r>
            <a:rPr lang="zh-CN" altLang="en-US" sz="1100"/>
            <a:t>选择吸收光谱上侧的色块</a:t>
          </a:r>
          <a:endParaRPr lang="en-US" altLang="zh-CN" sz="1100"/>
        </a:p>
        <a:p>
          <a:r>
            <a:rPr lang="en-US" altLang="zh-CN" sz="1100"/>
            <a:t>4. </a:t>
          </a:r>
          <a:r>
            <a:rPr lang="zh-CN" altLang="en-US" sz="1100"/>
            <a:t>点击生成颜色</a:t>
          </a:r>
          <a:endParaRPr lang="en-US" altLang="zh-CN" sz="1100"/>
        </a:p>
        <a:p>
          <a:endParaRPr lang="en-US" altLang="zh-CN" sz="1100"/>
        </a:p>
        <a:p>
          <a:r>
            <a:rPr lang="zh-CN" altLang="en-US" sz="1100"/>
            <a:t>需要提前开启</a:t>
          </a:r>
          <a:r>
            <a:rPr lang="en-US" altLang="zh-CN" sz="1100"/>
            <a:t>Excel</a:t>
          </a:r>
          <a:r>
            <a:rPr lang="zh-CN" altLang="en-US" sz="1100"/>
            <a:t>的宏功能</a:t>
          </a:r>
          <a:br>
            <a:rPr lang="en-US" altLang="zh-CN" sz="1100"/>
          </a:br>
          <a:r>
            <a:rPr lang="en-US" altLang="zh-CN" sz="1100"/>
            <a:t>https://www.lanrenexcel.com/vba-macro-saftey-setting/ </a:t>
          </a:r>
        </a:p>
        <a:p>
          <a:endParaRPr lang="en-US" altLang="zh-CN" sz="1100"/>
        </a:p>
        <a:p>
          <a:r>
            <a:rPr lang="en-US" altLang="zh-CN" sz="1100"/>
            <a:t>Sheet </a:t>
          </a:r>
          <a:r>
            <a:rPr lang="zh-CN" altLang="en-US" sz="1100"/>
            <a:t>“</a:t>
          </a:r>
          <a:r>
            <a:rPr lang="en-US" altLang="zh-CN" sz="1100"/>
            <a:t>Calculation</a:t>
          </a:r>
          <a:r>
            <a:rPr lang="zh-CN" altLang="en-US" sz="1100"/>
            <a:t>” 下面可以看到</a:t>
          </a:r>
          <a:r>
            <a:rPr lang="en-US" altLang="zh-CN" sz="1100"/>
            <a:t>LAB</a:t>
          </a:r>
          <a:r>
            <a:rPr lang="zh-CN" altLang="en-US" sz="1100"/>
            <a:t>、</a:t>
          </a:r>
          <a:r>
            <a:rPr lang="en-US" altLang="zh-CN" sz="1100"/>
            <a:t>RGB </a:t>
          </a:r>
          <a:r>
            <a:rPr lang="zh-CN" altLang="en-US" sz="1100"/>
            <a:t>等数据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825AC-4676-4155-805C-70E2A3683378}">
  <sheetPr codeName="Sheet1"/>
  <dimension ref="A1:CQ402"/>
  <sheetViews>
    <sheetView tabSelected="1" zoomScale="145" zoomScaleNormal="145" workbookViewId="0">
      <selection activeCell="F13" sqref="F13"/>
    </sheetView>
  </sheetViews>
  <sheetFormatPr defaultRowHeight="14.25"/>
  <cols>
    <col min="1" max="1" width="15.75" customWidth="1"/>
    <col min="4" max="4" width="8.625" style="4"/>
    <col min="5" max="7" width="8.625" style="1"/>
    <col min="24" max="24" width="9.125" customWidth="1"/>
  </cols>
  <sheetData>
    <row r="1" spans="1:95">
      <c r="D1" s="14"/>
      <c r="E1" s="98" t="str" cm="1">
        <f t="array" aca="1" ref="E1:L1" ca="1">OFFSET(Calculation!P204,0,0,1,COUNTA('1'!D2:ZZ2)-1)</f>
        <v>187,222,245</v>
      </c>
      <c r="F1" s="99" t="str">
        <f ca="1"/>
        <v>229,235,232</v>
      </c>
      <c r="G1" s="100" t="str">
        <f ca="1"/>
        <v>206,217,218</v>
      </c>
      <c r="H1" s="101" t="str">
        <f ca="1"/>
        <v>174,216,225</v>
      </c>
      <c r="I1" s="102" t="str">
        <f ca="1"/>
        <v>208,222,212</v>
      </c>
      <c r="J1" s="103" t="str">
        <f ca="1"/>
        <v>220,212,189</v>
      </c>
      <c r="K1" s="104" t="str">
        <f ca="1"/>
        <v>243,236,224</v>
      </c>
      <c r="L1" s="105" t="str">
        <f ca="1"/>
        <v>242,235,224</v>
      </c>
      <c r="M1" s="106"/>
      <c r="N1" s="107"/>
      <c r="O1" s="18"/>
      <c r="P1" s="19"/>
      <c r="Q1" s="20"/>
      <c r="R1" s="21"/>
      <c r="S1" s="22"/>
      <c r="T1" s="23"/>
      <c r="U1" s="24"/>
      <c r="V1" s="25"/>
      <c r="W1" s="26"/>
      <c r="X1" s="27"/>
      <c r="Y1" s="28"/>
      <c r="Z1" s="29"/>
      <c r="AA1" s="30"/>
      <c r="AB1" s="31"/>
      <c r="AC1" s="32"/>
      <c r="AD1" s="33"/>
      <c r="AE1" s="34"/>
      <c r="AF1" s="35"/>
      <c r="AG1" s="36"/>
      <c r="AH1" s="37"/>
      <c r="AI1" s="38"/>
      <c r="AJ1" s="39"/>
      <c r="AK1" s="40"/>
      <c r="AL1" s="41"/>
      <c r="AM1" s="42"/>
      <c r="AN1" s="43"/>
      <c r="AO1" s="44"/>
      <c r="AP1" s="45"/>
      <c r="AQ1" s="46"/>
      <c r="AR1" s="47"/>
      <c r="AS1" s="48"/>
      <c r="AT1" s="49"/>
      <c r="AU1" s="50"/>
      <c r="AV1" s="51"/>
      <c r="AW1" s="51"/>
      <c r="AX1" s="52"/>
      <c r="AY1" s="53"/>
      <c r="AZ1" s="54"/>
      <c r="BA1" s="55"/>
      <c r="BB1" s="56"/>
      <c r="BC1" s="57"/>
      <c r="BD1" s="58"/>
      <c r="BE1" s="59"/>
      <c r="BF1" s="60"/>
      <c r="BG1" s="61"/>
      <c r="BH1" s="62"/>
      <c r="BI1" s="63"/>
      <c r="BJ1" s="64"/>
      <c r="BK1" s="65"/>
      <c r="BL1" s="66"/>
      <c r="BM1" s="67"/>
      <c r="BN1" s="68"/>
      <c r="BO1" s="69"/>
      <c r="BP1" s="70"/>
      <c r="BQ1" s="71"/>
      <c r="BR1" s="72"/>
      <c r="BS1" s="73"/>
      <c r="BT1" s="74"/>
      <c r="BU1" s="75"/>
      <c r="BV1" s="76"/>
      <c r="BW1" s="77"/>
      <c r="BX1" s="78"/>
      <c r="BY1" s="79"/>
      <c r="BZ1" s="80"/>
      <c r="CA1" s="81"/>
      <c r="CB1" s="81"/>
      <c r="CC1" s="82"/>
      <c r="CD1" s="83"/>
      <c r="CE1" s="84"/>
      <c r="CF1" s="85"/>
      <c r="CG1" s="86"/>
      <c r="CH1" s="87"/>
      <c r="CI1" s="88"/>
      <c r="CJ1" s="89"/>
      <c r="CK1" s="90"/>
      <c r="CL1" s="91"/>
      <c r="CM1" s="92"/>
      <c r="CN1" s="92"/>
      <c r="CO1" s="93"/>
      <c r="CP1" s="94"/>
      <c r="CQ1" s="95"/>
    </row>
    <row r="2" spans="1:95">
      <c r="A2" s="2" t="s">
        <v>14</v>
      </c>
      <c r="B2" s="2" t="s">
        <v>13</v>
      </c>
      <c r="D2" s="16">
        <v>380</v>
      </c>
      <c r="E2" s="1">
        <v>8.1502400340000003E-2</v>
      </c>
      <c r="F2" s="1">
        <v>0.1844202429</v>
      </c>
      <c r="G2" s="1">
        <v>0.24176600579999999</v>
      </c>
      <c r="H2" s="1">
        <v>0.17887522280000001</v>
      </c>
      <c r="I2" s="1">
        <v>0.25034490230000001</v>
      </c>
      <c r="J2" s="1">
        <v>0.41573840379999999</v>
      </c>
      <c r="K2" s="1">
        <v>0.19979216159999999</v>
      </c>
      <c r="L2" s="1">
        <v>0.19772785900000001</v>
      </c>
      <c r="M2" s="1"/>
      <c r="N2" s="1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</row>
    <row r="3" spans="1:95">
      <c r="A3" s="2" t="s">
        <v>15</v>
      </c>
      <c r="B3" s="2" t="s">
        <v>16</v>
      </c>
      <c r="D3" s="16">
        <v>381</v>
      </c>
      <c r="E3" s="1">
        <v>8.0086730420000002E-2</v>
      </c>
      <c r="F3" s="1">
        <v>0.18129737679999999</v>
      </c>
      <c r="G3" s="1">
        <v>0.23992830509999999</v>
      </c>
      <c r="H3" s="1">
        <v>0.177431792</v>
      </c>
      <c r="I3" s="1">
        <v>0.2489318401</v>
      </c>
      <c r="J3" s="1">
        <v>0.41297525169999999</v>
      </c>
      <c r="K3" s="1">
        <v>0.19823324680000001</v>
      </c>
      <c r="L3" s="1">
        <v>0.1962523907</v>
      </c>
      <c r="M3" s="1"/>
      <c r="N3" s="1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</row>
    <row r="4" spans="1:95">
      <c r="D4" s="16">
        <v>382</v>
      </c>
      <c r="E4" s="1">
        <v>7.8511707479999998E-2</v>
      </c>
      <c r="F4" s="1">
        <v>0.17912867669999999</v>
      </c>
      <c r="G4" s="1">
        <v>0.23798479140000001</v>
      </c>
      <c r="H4" s="1">
        <v>0.1759585887</v>
      </c>
      <c r="I4" s="1">
        <v>0.2477067858</v>
      </c>
      <c r="J4" s="1">
        <v>0.4102223814</v>
      </c>
      <c r="K4" s="1">
        <v>0.19663411380000001</v>
      </c>
      <c r="L4" s="1">
        <v>0.19495390360000001</v>
      </c>
      <c r="M4" s="1"/>
      <c r="N4" s="1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</row>
    <row r="5" spans="1:95">
      <c r="D5" s="16">
        <v>383</v>
      </c>
      <c r="E5" s="1">
        <v>7.6965712010000006E-2</v>
      </c>
      <c r="F5" s="1">
        <v>0.1761885285</v>
      </c>
      <c r="G5" s="1">
        <v>0.23708137870000001</v>
      </c>
      <c r="H5" s="1">
        <v>0.17434562740000001</v>
      </c>
      <c r="I5" s="1">
        <v>0.24641020599999999</v>
      </c>
      <c r="J5" s="1">
        <v>0.40777036550000001</v>
      </c>
      <c r="K5" s="1">
        <v>0.1951868236</v>
      </c>
      <c r="L5" s="1">
        <v>0.19377587739999999</v>
      </c>
      <c r="M5" s="1"/>
      <c r="N5" s="1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</row>
    <row r="6" spans="1:95">
      <c r="D6" s="16">
        <v>384</v>
      </c>
      <c r="E6" s="1">
        <v>7.5647264719999996E-2</v>
      </c>
      <c r="F6" s="1">
        <v>0.17357200380000001</v>
      </c>
      <c r="G6" s="1">
        <v>0.2343620807</v>
      </c>
      <c r="H6" s="1">
        <v>0.1732459962</v>
      </c>
      <c r="I6" s="1">
        <v>0.24539528790000001</v>
      </c>
      <c r="J6" s="1">
        <v>0.40505552290000002</v>
      </c>
      <c r="K6" s="1">
        <v>0.19368076319999999</v>
      </c>
      <c r="L6" s="1">
        <v>0.19253592189999999</v>
      </c>
      <c r="M6" s="1"/>
      <c r="N6" s="1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</row>
    <row r="7" spans="1:95">
      <c r="D7" s="16">
        <v>385</v>
      </c>
      <c r="E7" s="1">
        <v>7.4336096640000002E-2</v>
      </c>
      <c r="F7" s="1">
        <v>0.1718160957</v>
      </c>
      <c r="G7" s="1">
        <v>0.23163066800000001</v>
      </c>
      <c r="H7" s="1">
        <v>0.17195464669999999</v>
      </c>
      <c r="I7" s="1">
        <v>0.24441267550000001</v>
      </c>
      <c r="J7" s="1">
        <v>0.40273395179999999</v>
      </c>
      <c r="K7" s="1">
        <v>0.19212083520000001</v>
      </c>
      <c r="L7" s="1">
        <v>0.1907409132</v>
      </c>
      <c r="M7" s="1"/>
      <c r="N7" s="1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</row>
    <row r="8" spans="1:95">
      <c r="D8" s="16">
        <v>386</v>
      </c>
      <c r="E8" s="1">
        <v>7.3143675919999998E-2</v>
      </c>
      <c r="F8" s="1">
        <v>0.1694770753</v>
      </c>
      <c r="G8" s="1">
        <v>0.23008047039999999</v>
      </c>
      <c r="H8" s="1">
        <v>0.17057505249999999</v>
      </c>
      <c r="I8" s="1">
        <v>0.24345141649999999</v>
      </c>
      <c r="J8" s="1">
        <v>0.40028902890000001</v>
      </c>
      <c r="K8" s="1">
        <v>0.1907522827</v>
      </c>
      <c r="L8" s="1">
        <v>0.18951949479999999</v>
      </c>
      <c r="M8" s="1"/>
      <c r="N8" s="1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</row>
    <row r="9" spans="1:95">
      <c r="D9" s="16">
        <v>387</v>
      </c>
      <c r="E9" s="1">
        <v>7.1959711610000004E-2</v>
      </c>
      <c r="F9" s="1">
        <v>0.16696968670000001</v>
      </c>
      <c r="G9" s="1">
        <v>0.22967569530000001</v>
      </c>
      <c r="H9" s="1">
        <v>0.1694354713</v>
      </c>
      <c r="I9" s="1">
        <v>0.24250200390000001</v>
      </c>
      <c r="J9" s="1">
        <v>0.39798557759999997</v>
      </c>
      <c r="K9" s="1">
        <v>0.18937890230000001</v>
      </c>
      <c r="L9" s="1">
        <v>0.18813642859999999</v>
      </c>
      <c r="M9" s="1"/>
      <c r="N9" s="1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</row>
    <row r="10" spans="1:95">
      <c r="D10" s="16">
        <v>388</v>
      </c>
      <c r="E10" s="1">
        <v>7.0739544929999995E-2</v>
      </c>
      <c r="F10" s="1">
        <v>0.16479140519999999</v>
      </c>
      <c r="G10" s="1">
        <v>0.22593471409999999</v>
      </c>
      <c r="H10" s="1">
        <v>0.16840769350000001</v>
      </c>
      <c r="I10" s="1">
        <v>0.2414797246</v>
      </c>
      <c r="J10" s="1">
        <v>0.39543673400000001</v>
      </c>
      <c r="K10" s="1">
        <v>0.18778051439999999</v>
      </c>
      <c r="L10" s="1">
        <v>0.18656399849999999</v>
      </c>
      <c r="M10" s="1"/>
      <c r="N10" s="1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</row>
    <row r="11" spans="1:95">
      <c r="D11" s="16">
        <v>389</v>
      </c>
      <c r="E11" s="1">
        <v>6.9618195300000005E-2</v>
      </c>
      <c r="F11" s="1">
        <v>0.16275241970000001</v>
      </c>
      <c r="G11" s="1">
        <v>0.22419667239999999</v>
      </c>
      <c r="H11" s="1">
        <v>0.1672739238</v>
      </c>
      <c r="I11" s="1">
        <v>0.24059821670000001</v>
      </c>
      <c r="J11" s="1">
        <v>0.39297622440000002</v>
      </c>
      <c r="K11" s="1">
        <v>0.1864203811</v>
      </c>
      <c r="L11" s="1">
        <v>0.18532331290000001</v>
      </c>
      <c r="M11" s="1"/>
      <c r="N11" s="1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</row>
    <row r="12" spans="1:95">
      <c r="D12" s="16">
        <v>390</v>
      </c>
      <c r="E12" s="1">
        <v>6.8355917929999996E-2</v>
      </c>
      <c r="F12" s="1">
        <v>0.1609394103</v>
      </c>
      <c r="G12" s="1">
        <v>0.22292549910000001</v>
      </c>
      <c r="H12" s="1">
        <v>0.16599464420000001</v>
      </c>
      <c r="I12" s="1">
        <v>0.23979128899999999</v>
      </c>
      <c r="J12" s="1">
        <v>0.39072465899999997</v>
      </c>
      <c r="K12" s="1">
        <v>0.184836477</v>
      </c>
      <c r="L12" s="1">
        <v>0.18378369510000001</v>
      </c>
      <c r="M12" s="1"/>
      <c r="N12" s="1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</row>
    <row r="13" spans="1:95">
      <c r="D13" s="16">
        <v>391</v>
      </c>
      <c r="E13" s="1">
        <v>6.7464515569999994E-2</v>
      </c>
      <c r="F13" s="1">
        <v>0.1585401297</v>
      </c>
      <c r="G13" s="1">
        <v>0.2241443098</v>
      </c>
      <c r="H13" s="1">
        <v>0.1649423689</v>
      </c>
      <c r="I13" s="1">
        <v>0.2391105741</v>
      </c>
      <c r="J13" s="1">
        <v>0.38875395060000001</v>
      </c>
      <c r="K13" s="1">
        <v>0.1836499274</v>
      </c>
      <c r="L13" s="1">
        <v>0.18292780219999999</v>
      </c>
      <c r="M13" s="1"/>
      <c r="N13" s="1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</row>
    <row r="14" spans="1:95">
      <c r="D14" s="16">
        <v>392</v>
      </c>
      <c r="E14" s="1">
        <v>6.6644191739999997E-2</v>
      </c>
      <c r="F14" s="1">
        <v>0.15547287460000001</v>
      </c>
      <c r="G14" s="1">
        <v>0.22082304950000001</v>
      </c>
      <c r="H14" s="1">
        <v>0.16443060340000001</v>
      </c>
      <c r="I14" s="1">
        <v>0.2385308146</v>
      </c>
      <c r="J14" s="1">
        <v>0.38658714290000001</v>
      </c>
      <c r="K14" s="1">
        <v>0.18238419289999999</v>
      </c>
      <c r="L14" s="1">
        <v>0.1818919182</v>
      </c>
      <c r="M14" s="1"/>
      <c r="N14" s="1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</row>
    <row r="15" spans="1:95">
      <c r="D15" s="16">
        <v>393</v>
      </c>
      <c r="E15" s="1">
        <v>6.5596483649999995E-2</v>
      </c>
      <c r="F15" s="1">
        <v>0.15530401469999999</v>
      </c>
      <c r="G15" s="1">
        <v>0.21614956860000001</v>
      </c>
      <c r="H15" s="1">
        <v>0.1636977047</v>
      </c>
      <c r="I15" s="1">
        <v>0.2380996943</v>
      </c>
      <c r="J15" s="1">
        <v>0.38440594080000001</v>
      </c>
      <c r="K15" s="1">
        <v>0.18091954290000001</v>
      </c>
      <c r="L15" s="1">
        <v>0.18058565260000001</v>
      </c>
      <c r="M15" s="1"/>
      <c r="N15" s="1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</row>
    <row r="16" spans="1:95">
      <c r="D16" s="16">
        <v>394</v>
      </c>
      <c r="E16" s="1">
        <v>6.4809642730000006E-2</v>
      </c>
      <c r="F16" s="1">
        <v>0.15188995</v>
      </c>
      <c r="G16" s="1">
        <v>0.2175531238</v>
      </c>
      <c r="H16" s="1">
        <v>0.16273351010000001</v>
      </c>
      <c r="I16" s="1">
        <v>0.23753868040000001</v>
      </c>
      <c r="J16" s="1">
        <v>0.38243609670000001</v>
      </c>
      <c r="K16" s="1">
        <v>0.1797704101</v>
      </c>
      <c r="L16" s="1">
        <v>0.1795372814</v>
      </c>
      <c r="M16" s="1"/>
      <c r="N16" s="1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</row>
    <row r="17" spans="4:95">
      <c r="D17" s="16">
        <v>395</v>
      </c>
      <c r="E17" s="1">
        <v>6.3851378860000002E-2</v>
      </c>
      <c r="F17" s="1">
        <v>0.15032947059999999</v>
      </c>
      <c r="G17" s="1">
        <v>0.2127059996</v>
      </c>
      <c r="H17" s="1">
        <v>0.16213516889999999</v>
      </c>
      <c r="I17" s="1">
        <v>0.2366784364</v>
      </c>
      <c r="J17" s="1">
        <v>0.38002699610000001</v>
      </c>
      <c r="K17" s="1">
        <v>0.1781411618</v>
      </c>
      <c r="L17" s="1">
        <v>0.17815825339999999</v>
      </c>
      <c r="M17" s="1"/>
      <c r="N17" s="1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</row>
    <row r="18" spans="4:95">
      <c r="D18" s="16">
        <v>396</v>
      </c>
      <c r="E18" s="1">
        <v>6.3034288590000001E-2</v>
      </c>
      <c r="F18" s="1">
        <v>0.14965790509999999</v>
      </c>
      <c r="G18" s="1">
        <v>0.20984837410000001</v>
      </c>
      <c r="H18" s="1">
        <v>0.16139960289999999</v>
      </c>
      <c r="I18" s="1">
        <v>0.23629437389999999</v>
      </c>
      <c r="J18" s="1">
        <v>0.37825980780000001</v>
      </c>
      <c r="K18" s="1">
        <v>0.17689777910000001</v>
      </c>
      <c r="L18" s="1">
        <v>0.17669580879999999</v>
      </c>
      <c r="M18" s="1"/>
      <c r="N18" s="1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</row>
    <row r="19" spans="4:95">
      <c r="D19" s="16">
        <v>397</v>
      </c>
      <c r="E19" s="1">
        <v>6.2227927150000001E-2</v>
      </c>
      <c r="F19" s="1">
        <v>0.147142157</v>
      </c>
      <c r="G19" s="1">
        <v>0.20942410829999999</v>
      </c>
      <c r="H19" s="1">
        <v>0.16072186829999999</v>
      </c>
      <c r="I19" s="1">
        <v>0.2358962446</v>
      </c>
      <c r="J19" s="1">
        <v>0.37639963630000001</v>
      </c>
      <c r="K19" s="1">
        <v>0.17573590580000001</v>
      </c>
      <c r="L19" s="1">
        <v>0.17559041080000001</v>
      </c>
      <c r="M19" s="1"/>
      <c r="N19" s="1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</row>
    <row r="20" spans="4:95">
      <c r="D20" s="16">
        <v>398</v>
      </c>
      <c r="E20" s="1">
        <v>6.1334364119999998E-2</v>
      </c>
      <c r="F20" s="1">
        <v>0.14488245550000001</v>
      </c>
      <c r="G20" s="1">
        <v>0.20834359529999999</v>
      </c>
      <c r="H20" s="1">
        <v>0.1598480642</v>
      </c>
      <c r="I20" s="1">
        <v>0.2353968769</v>
      </c>
      <c r="J20" s="1">
        <v>0.37424281240000001</v>
      </c>
      <c r="K20" s="1">
        <v>0.1741145402</v>
      </c>
      <c r="L20" s="1">
        <v>0.17412641640000001</v>
      </c>
      <c r="M20" s="1"/>
      <c r="N20" s="1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</row>
    <row r="21" spans="4:95">
      <c r="D21" s="16">
        <v>399</v>
      </c>
      <c r="E21" s="1">
        <v>6.0501839969999999E-2</v>
      </c>
      <c r="F21" s="1">
        <v>0.1426554471</v>
      </c>
      <c r="G21" s="1">
        <v>0.20666803419999999</v>
      </c>
      <c r="H21" s="1">
        <v>0.1593036652</v>
      </c>
      <c r="I21" s="1">
        <v>0.23490121959999999</v>
      </c>
      <c r="J21" s="1">
        <v>0.3724165559</v>
      </c>
      <c r="K21" s="1">
        <v>0.17267988619999999</v>
      </c>
      <c r="L21" s="1">
        <v>0.17301332950000001</v>
      </c>
      <c r="M21" s="1"/>
      <c r="N21" s="1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</row>
    <row r="22" spans="4:95">
      <c r="D22" s="16">
        <v>400</v>
      </c>
      <c r="E22" s="1">
        <v>5.9892758730000002E-2</v>
      </c>
      <c r="F22" s="1">
        <v>0.14145286379999999</v>
      </c>
      <c r="G22" s="1">
        <v>0.20498269799999999</v>
      </c>
      <c r="H22" s="1">
        <v>0.1588804275</v>
      </c>
      <c r="I22" s="1">
        <v>0.23473173380000001</v>
      </c>
      <c r="J22" s="1">
        <v>0.37081536650000002</v>
      </c>
      <c r="K22" s="1">
        <v>0.17155809699999999</v>
      </c>
      <c r="L22" s="1">
        <v>0.1717524976</v>
      </c>
      <c r="M22" s="1"/>
      <c r="N22" s="1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</row>
    <row r="23" spans="4:95">
      <c r="D23" s="16">
        <v>401</v>
      </c>
      <c r="E23" s="1">
        <v>5.9402283280000003E-2</v>
      </c>
      <c r="F23" s="1">
        <v>0.1402064562</v>
      </c>
      <c r="G23" s="1">
        <v>0.20405094330000001</v>
      </c>
      <c r="H23" s="1">
        <v>0.15844877060000001</v>
      </c>
      <c r="I23" s="1">
        <v>0.23472101989999999</v>
      </c>
      <c r="J23" s="1">
        <v>0.36900612710000003</v>
      </c>
      <c r="K23" s="1">
        <v>0.1704626977</v>
      </c>
      <c r="L23" s="1">
        <v>0.1707220227</v>
      </c>
      <c r="M23" s="1"/>
      <c r="N23" s="1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</row>
    <row r="24" spans="4:95">
      <c r="D24" s="16">
        <v>402</v>
      </c>
      <c r="E24" s="1">
        <v>5.8797139669999998E-2</v>
      </c>
      <c r="F24" s="1">
        <v>0.1381318718</v>
      </c>
      <c r="G24" s="1">
        <v>0.20330469309999999</v>
      </c>
      <c r="H24" s="1">
        <v>0.15800492469999999</v>
      </c>
      <c r="I24" s="1">
        <v>0.23473185299999999</v>
      </c>
      <c r="J24" s="1">
        <v>0.36750817299999999</v>
      </c>
      <c r="K24" s="1">
        <v>0.16933636369999999</v>
      </c>
      <c r="L24" s="1">
        <v>0.16952246430000001</v>
      </c>
      <c r="M24" s="1"/>
      <c r="N24" s="1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</row>
    <row r="25" spans="4:95">
      <c r="D25" s="16">
        <v>403</v>
      </c>
      <c r="E25" s="1">
        <v>5.8101065459999997E-2</v>
      </c>
      <c r="F25" s="1">
        <v>0.1369571835</v>
      </c>
      <c r="G25" s="1">
        <v>0.20230323080000001</v>
      </c>
      <c r="H25" s="1">
        <v>0.1575968713</v>
      </c>
      <c r="I25" s="1">
        <v>0.23445867000000001</v>
      </c>
      <c r="J25" s="1">
        <v>0.36587455870000002</v>
      </c>
      <c r="K25" s="1">
        <v>0.1681135148</v>
      </c>
      <c r="L25" s="1">
        <v>0.1683908254</v>
      </c>
      <c r="M25" s="1"/>
      <c r="N25" s="1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</row>
    <row r="26" spans="4:95">
      <c r="D26" s="16">
        <v>404</v>
      </c>
      <c r="E26" s="1">
        <v>5.7325281200000001E-2</v>
      </c>
      <c r="F26" s="1">
        <v>0.13446311650000001</v>
      </c>
      <c r="G26" s="1">
        <v>0.20190331340000001</v>
      </c>
      <c r="H26" s="1">
        <v>0.15694183110000001</v>
      </c>
      <c r="I26" s="1">
        <v>0.2341344357</v>
      </c>
      <c r="J26" s="1">
        <v>0.36386176939999998</v>
      </c>
      <c r="K26" s="1">
        <v>0.16672465210000001</v>
      </c>
      <c r="L26" s="1">
        <v>0.16705988350000001</v>
      </c>
      <c r="M26" s="1"/>
      <c r="N26" s="1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</row>
    <row r="27" spans="4:95">
      <c r="D27" s="16">
        <v>405</v>
      </c>
      <c r="E27" s="1">
        <v>5.6841000910000002E-2</v>
      </c>
      <c r="F27" s="1">
        <v>0.133291468</v>
      </c>
      <c r="G27" s="1">
        <v>0.1989395618</v>
      </c>
      <c r="H27" s="1">
        <v>0.15669828650000001</v>
      </c>
      <c r="I27" s="1">
        <v>0.23389147220000001</v>
      </c>
      <c r="J27" s="1">
        <v>0.3621780872</v>
      </c>
      <c r="K27" s="1">
        <v>0.1653430313</v>
      </c>
      <c r="L27" s="1">
        <v>0.165769577</v>
      </c>
      <c r="M27" s="1"/>
      <c r="N27" s="1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</row>
    <row r="28" spans="4:95">
      <c r="D28" s="16">
        <v>406</v>
      </c>
      <c r="E28" s="1">
        <v>5.644291639E-2</v>
      </c>
      <c r="F28" s="1">
        <v>0.13232937459999999</v>
      </c>
      <c r="G28" s="1">
        <v>0.19690300520000001</v>
      </c>
      <c r="H28" s="1">
        <v>0.15651784839999999</v>
      </c>
      <c r="I28" s="1">
        <v>0.2338796705</v>
      </c>
      <c r="J28" s="1">
        <v>0.36092719439999998</v>
      </c>
      <c r="K28" s="1">
        <v>0.16435575490000001</v>
      </c>
      <c r="L28" s="1">
        <v>0.1645413637</v>
      </c>
      <c r="M28" s="1"/>
      <c r="N28" s="1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</row>
    <row r="29" spans="4:95">
      <c r="D29" s="16">
        <v>407</v>
      </c>
      <c r="E29" s="1">
        <v>5.588571355E-2</v>
      </c>
      <c r="F29" s="1">
        <v>0.13039872050000001</v>
      </c>
      <c r="G29" s="1">
        <v>0.19541275499999999</v>
      </c>
      <c r="H29" s="1">
        <v>0.15614378449999999</v>
      </c>
      <c r="I29" s="1">
        <v>0.23376041650000001</v>
      </c>
      <c r="J29" s="1">
        <v>0.3592680097</v>
      </c>
      <c r="K29" s="1">
        <v>0.163096413</v>
      </c>
      <c r="L29" s="1">
        <v>0.1632180661</v>
      </c>
      <c r="M29" s="1"/>
      <c r="N29" s="1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</row>
    <row r="30" spans="4:95">
      <c r="D30" s="16">
        <v>408</v>
      </c>
      <c r="E30" s="1">
        <v>5.5456794800000001E-2</v>
      </c>
      <c r="F30" s="1">
        <v>0.12913970650000001</v>
      </c>
      <c r="G30" s="1">
        <v>0.19408844410000001</v>
      </c>
      <c r="H30" s="1">
        <v>0.1556572765</v>
      </c>
      <c r="I30" s="1">
        <v>0.23361557720000001</v>
      </c>
      <c r="J30" s="1">
        <v>0.3576827943</v>
      </c>
      <c r="K30" s="1">
        <v>0.1618014425</v>
      </c>
      <c r="L30" s="1">
        <v>0.16205035149999999</v>
      </c>
      <c r="M30" s="1"/>
      <c r="N30" s="1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</row>
    <row r="31" spans="4:95">
      <c r="D31" s="16">
        <v>409</v>
      </c>
      <c r="E31" s="1">
        <v>5.4930202660000003E-2</v>
      </c>
      <c r="F31" s="1">
        <v>0.12780307229999999</v>
      </c>
      <c r="G31" s="1">
        <v>0.193203494</v>
      </c>
      <c r="H31" s="1">
        <v>0.15516501669999999</v>
      </c>
      <c r="I31" s="1">
        <v>0.23323008419999999</v>
      </c>
      <c r="J31" s="1">
        <v>0.35606125</v>
      </c>
      <c r="K31" s="1">
        <v>0.16059993210000001</v>
      </c>
      <c r="L31" s="1">
        <v>0.1608083397</v>
      </c>
      <c r="M31" s="1"/>
      <c r="N31" s="1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</row>
    <row r="32" spans="4:95">
      <c r="D32" s="16">
        <v>410</v>
      </c>
      <c r="E32" s="1">
        <v>5.432752892E-2</v>
      </c>
      <c r="F32" s="1">
        <v>0.12571562829999999</v>
      </c>
      <c r="G32" s="1">
        <v>0.19410070779999999</v>
      </c>
      <c r="H32" s="1">
        <v>0.15471652150000001</v>
      </c>
      <c r="I32" s="1">
        <v>0.23293384910000001</v>
      </c>
      <c r="J32" s="1">
        <v>0.35463747379999999</v>
      </c>
      <c r="K32" s="1">
        <v>0.15929417309999999</v>
      </c>
      <c r="L32" s="1">
        <v>0.15950307250000001</v>
      </c>
      <c r="M32" s="1"/>
      <c r="N32" s="1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</row>
    <row r="33" spans="4:95">
      <c r="D33" s="16">
        <v>411</v>
      </c>
      <c r="E33" s="1">
        <v>5.4064001889999998E-2</v>
      </c>
      <c r="F33" s="1">
        <v>0.1249225512</v>
      </c>
      <c r="G33" s="1">
        <v>0.19012191889999999</v>
      </c>
      <c r="H33" s="1">
        <v>0.15465520320000001</v>
      </c>
      <c r="I33" s="1">
        <v>0.23278374969999999</v>
      </c>
      <c r="J33" s="1">
        <v>0.3534361124</v>
      </c>
      <c r="K33" s="1">
        <v>0.15812985600000001</v>
      </c>
      <c r="L33" s="1">
        <v>0.1584924757</v>
      </c>
      <c r="M33" s="1"/>
      <c r="N33" s="1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</row>
    <row r="34" spans="4:95">
      <c r="D34" s="16">
        <v>412</v>
      </c>
      <c r="E34" s="1">
        <v>5.3767174479999999E-2</v>
      </c>
      <c r="F34" s="1">
        <v>0.12393872440000001</v>
      </c>
      <c r="G34" s="1">
        <v>0.18939204509999999</v>
      </c>
      <c r="H34" s="1">
        <v>0.15436324479999999</v>
      </c>
      <c r="I34" s="1">
        <v>0.2327313721</v>
      </c>
      <c r="J34" s="1">
        <v>0.35211995239999999</v>
      </c>
      <c r="K34" s="1">
        <v>0.1570530832</v>
      </c>
      <c r="L34" s="1">
        <v>0.15732617679999999</v>
      </c>
      <c r="M34" s="1"/>
      <c r="N34" s="1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</row>
    <row r="35" spans="4:95">
      <c r="D35" s="16">
        <v>413</v>
      </c>
      <c r="E35" s="1">
        <v>5.331698805E-2</v>
      </c>
      <c r="F35" s="1">
        <v>0.1225205883</v>
      </c>
      <c r="G35" s="1">
        <v>0.18883396690000001</v>
      </c>
      <c r="H35" s="1">
        <v>0.1537965238</v>
      </c>
      <c r="I35" s="1">
        <v>0.2322952747</v>
      </c>
      <c r="J35" s="1">
        <v>0.35082373020000002</v>
      </c>
      <c r="K35" s="1">
        <v>0.15590958299999999</v>
      </c>
      <c r="L35" s="1">
        <v>0.1562434137</v>
      </c>
      <c r="M35" s="1"/>
      <c r="N35" s="1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</row>
    <row r="36" spans="4:95">
      <c r="D36" s="16">
        <v>414</v>
      </c>
      <c r="E36" s="1">
        <v>5.2775181829999997E-2</v>
      </c>
      <c r="F36" s="1">
        <v>0.1209989712</v>
      </c>
      <c r="G36" s="1">
        <v>0.18776157500000001</v>
      </c>
      <c r="H36" s="1">
        <v>0.15315772590000001</v>
      </c>
      <c r="I36" s="1">
        <v>0.2317925096</v>
      </c>
      <c r="J36" s="1">
        <v>0.34898045659999999</v>
      </c>
      <c r="K36" s="1">
        <v>0.1545562744</v>
      </c>
      <c r="L36" s="1">
        <v>0.15481308099999999</v>
      </c>
      <c r="M36" s="1"/>
      <c r="N36" s="1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</row>
    <row r="37" spans="4:95">
      <c r="D37" s="16">
        <v>415</v>
      </c>
      <c r="E37" s="1">
        <v>5.2621338519999998E-2</v>
      </c>
      <c r="F37" s="1">
        <v>0.11993967</v>
      </c>
      <c r="G37" s="1">
        <v>0.18624426420000001</v>
      </c>
      <c r="H37" s="1">
        <v>0.15292774140000001</v>
      </c>
      <c r="I37" s="1">
        <v>0.231501177</v>
      </c>
      <c r="J37" s="1">
        <v>0.34756019710000002</v>
      </c>
      <c r="K37" s="1">
        <v>0.1533603519</v>
      </c>
      <c r="L37" s="1">
        <v>0.15355643629999999</v>
      </c>
      <c r="M37" s="1"/>
      <c r="N37" s="1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</row>
    <row r="38" spans="4:95">
      <c r="D38" s="16">
        <v>416</v>
      </c>
      <c r="E38" s="1">
        <v>5.205891654E-2</v>
      </c>
      <c r="F38" s="1">
        <v>0.11838190260000001</v>
      </c>
      <c r="G38" s="1">
        <v>0.18612913789999999</v>
      </c>
      <c r="H38" s="1">
        <v>0.15239046510000001</v>
      </c>
      <c r="I38" s="1">
        <v>0.23076789079999999</v>
      </c>
      <c r="J38" s="1">
        <v>0.3459175229</v>
      </c>
      <c r="K38" s="1">
        <v>0.15199252960000001</v>
      </c>
      <c r="L38" s="1">
        <v>0.15232561529999999</v>
      </c>
      <c r="M38" s="1"/>
      <c r="N38" s="1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</row>
    <row r="39" spans="4:95">
      <c r="D39" s="16">
        <v>417</v>
      </c>
      <c r="E39" s="1">
        <v>5.1818169650000002E-2</v>
      </c>
      <c r="F39" s="1">
        <v>0.1174722686</v>
      </c>
      <c r="G39" s="1">
        <v>0.18554230029999999</v>
      </c>
      <c r="H39" s="1">
        <v>0.1519320458</v>
      </c>
      <c r="I39" s="1">
        <v>0.23020139340000001</v>
      </c>
      <c r="J39" s="1">
        <v>0.34441509840000001</v>
      </c>
      <c r="K39" s="1">
        <v>0.1508709043</v>
      </c>
      <c r="L39" s="1">
        <v>0.15109050269999999</v>
      </c>
      <c r="M39" s="1"/>
      <c r="N39" s="1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</row>
    <row r="40" spans="4:95">
      <c r="D40" s="16">
        <v>418</v>
      </c>
      <c r="E40" s="1">
        <v>5.1480438560000001E-2</v>
      </c>
      <c r="F40" s="1">
        <v>0.1162068248</v>
      </c>
      <c r="G40" s="1">
        <v>0.18428406119999999</v>
      </c>
      <c r="H40" s="1">
        <v>0.15138918160000001</v>
      </c>
      <c r="I40" s="1">
        <v>0.2295695841</v>
      </c>
      <c r="J40" s="1">
        <v>0.34289881589999999</v>
      </c>
      <c r="K40" s="1">
        <v>0.14956131580000001</v>
      </c>
      <c r="L40" s="1">
        <v>0.1497414708</v>
      </c>
      <c r="M40" s="1"/>
      <c r="N40" s="1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</row>
    <row r="41" spans="4:95">
      <c r="D41" s="16">
        <v>419</v>
      </c>
      <c r="E41" s="1">
        <v>5.1136095079999999E-2</v>
      </c>
      <c r="F41" s="1">
        <v>0.114997685</v>
      </c>
      <c r="G41" s="1">
        <v>0.18392291669999999</v>
      </c>
      <c r="H41" s="1">
        <v>0.15085962410000001</v>
      </c>
      <c r="I41" s="1">
        <v>0.22896890340000001</v>
      </c>
      <c r="J41" s="1">
        <v>0.34122139219999997</v>
      </c>
      <c r="K41" s="1">
        <v>0.14834086599999999</v>
      </c>
      <c r="L41" s="1">
        <v>0.14866095779999999</v>
      </c>
      <c r="M41" s="1"/>
      <c r="N41" s="1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</row>
    <row r="42" spans="4:95">
      <c r="D42" s="16">
        <v>420</v>
      </c>
      <c r="E42" s="1">
        <v>5.0894752139999999E-2</v>
      </c>
      <c r="F42" s="1">
        <v>0.1139197871</v>
      </c>
      <c r="G42" s="1">
        <v>0.18352964520000001</v>
      </c>
      <c r="H42" s="1">
        <v>0.15035817030000001</v>
      </c>
      <c r="I42" s="1">
        <v>0.2283120304</v>
      </c>
      <c r="J42" s="1">
        <v>0.33969745039999999</v>
      </c>
      <c r="K42" s="1">
        <v>0.1470727473</v>
      </c>
      <c r="L42" s="1">
        <v>0.1473373026</v>
      </c>
      <c r="M42" s="1"/>
      <c r="N42" s="1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</row>
    <row r="43" spans="4:95">
      <c r="D43" s="16">
        <v>421</v>
      </c>
      <c r="E43" s="1">
        <v>5.0775934010000003E-2</v>
      </c>
      <c r="F43" s="1">
        <v>0.1126838028</v>
      </c>
      <c r="G43" s="1">
        <v>0.18234814699999999</v>
      </c>
      <c r="H43" s="1">
        <v>0.1500722766</v>
      </c>
      <c r="I43" s="1">
        <v>0.2277218848</v>
      </c>
      <c r="J43" s="1">
        <v>0.3382351696</v>
      </c>
      <c r="K43" s="1">
        <v>0.14603547750000001</v>
      </c>
      <c r="L43" s="1">
        <v>0.14627406000000001</v>
      </c>
      <c r="M43" s="1"/>
      <c r="N43" s="1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</row>
    <row r="44" spans="4:95">
      <c r="D44" s="16">
        <v>422</v>
      </c>
      <c r="E44" s="1">
        <v>5.0657760349999997E-2</v>
      </c>
      <c r="F44" s="1">
        <v>0.11210007969999999</v>
      </c>
      <c r="G44" s="1">
        <v>0.18008078629999999</v>
      </c>
      <c r="H44" s="1">
        <v>0.1499366462</v>
      </c>
      <c r="I44" s="1">
        <v>0.2271279544</v>
      </c>
      <c r="J44" s="1">
        <v>0.33672410250000001</v>
      </c>
      <c r="K44" s="1">
        <v>0.14479722079999999</v>
      </c>
      <c r="L44" s="1">
        <v>0.14495271439999999</v>
      </c>
      <c r="M44" s="1"/>
      <c r="N44" s="1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</row>
    <row r="45" spans="4:95">
      <c r="D45" s="16">
        <v>423</v>
      </c>
      <c r="E45" s="1">
        <v>5.0376798959999997E-2</v>
      </c>
      <c r="F45" s="1">
        <v>0.11133309449999999</v>
      </c>
      <c r="G45" s="1">
        <v>0.17908930780000001</v>
      </c>
      <c r="H45" s="1">
        <v>0.14917252959999999</v>
      </c>
      <c r="I45" s="1">
        <v>0.2263430655</v>
      </c>
      <c r="J45" s="1">
        <v>0.33542403580000002</v>
      </c>
      <c r="K45" s="1">
        <v>0.1437319517</v>
      </c>
      <c r="L45" s="1">
        <v>0.1437499672</v>
      </c>
      <c r="M45" s="1"/>
      <c r="N45" s="1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</row>
    <row r="46" spans="4:95">
      <c r="D46" s="16">
        <v>424</v>
      </c>
      <c r="E46" s="1">
        <v>5.016002059E-2</v>
      </c>
      <c r="F46" s="1">
        <v>0.1097308546</v>
      </c>
      <c r="G46" s="1">
        <v>0.17904601989999999</v>
      </c>
      <c r="H46" s="1">
        <v>0.14866481719999999</v>
      </c>
      <c r="I46" s="1">
        <v>0.22551751140000001</v>
      </c>
      <c r="J46" s="1">
        <v>0.3337558806</v>
      </c>
      <c r="K46" s="1">
        <v>0.1427229941</v>
      </c>
      <c r="L46" s="1">
        <v>0.1428564638</v>
      </c>
      <c r="M46" s="1"/>
      <c r="N46" s="1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</row>
    <row r="47" spans="4:95">
      <c r="D47" s="16">
        <v>425</v>
      </c>
      <c r="E47" s="1">
        <v>4.9911234530000001E-2</v>
      </c>
      <c r="F47" s="1">
        <v>0.1089890599</v>
      </c>
      <c r="G47" s="1">
        <v>0.1769476831</v>
      </c>
      <c r="H47" s="1">
        <v>0.14809979500000001</v>
      </c>
      <c r="I47" s="1">
        <v>0.2245717794</v>
      </c>
      <c r="J47" s="1">
        <v>0.33199444410000001</v>
      </c>
      <c r="K47" s="1">
        <v>0.14146560429999999</v>
      </c>
      <c r="L47" s="1">
        <v>0.1414871067</v>
      </c>
      <c r="M47" s="1"/>
      <c r="N47" s="1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</row>
    <row r="48" spans="4:95">
      <c r="D48" s="16">
        <v>426</v>
      </c>
      <c r="E48" s="1">
        <v>4.9711406229999998E-2</v>
      </c>
      <c r="F48" s="1">
        <v>0.1082502306</v>
      </c>
      <c r="G48" s="1">
        <v>0.1750387102</v>
      </c>
      <c r="H48" s="1">
        <v>0.14754480119999999</v>
      </c>
      <c r="I48" s="1">
        <v>0.22353540359999999</v>
      </c>
      <c r="J48" s="1">
        <v>0.33047056200000002</v>
      </c>
      <c r="K48" s="1">
        <v>0.140392825</v>
      </c>
      <c r="L48" s="1">
        <v>0.14035871620000001</v>
      </c>
      <c r="M48" s="1"/>
      <c r="N48" s="1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</row>
    <row r="49" spans="4:95">
      <c r="D49" s="16">
        <v>427</v>
      </c>
      <c r="E49" s="1">
        <v>4.9670919780000003E-2</v>
      </c>
      <c r="F49" s="1">
        <v>0.10741147400000001</v>
      </c>
      <c r="G49" s="1">
        <v>0.1744441092</v>
      </c>
      <c r="H49" s="1">
        <v>0.1473071873</v>
      </c>
      <c r="I49" s="1">
        <v>0.2226718664</v>
      </c>
      <c r="J49" s="1">
        <v>0.32898059489999998</v>
      </c>
      <c r="K49" s="1">
        <v>0.13928709919999999</v>
      </c>
      <c r="L49" s="1">
        <v>0.1392180026</v>
      </c>
      <c r="M49" s="1"/>
      <c r="N49" s="1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</row>
    <row r="50" spans="4:95">
      <c r="D50" s="16">
        <v>428</v>
      </c>
      <c r="E50" s="1">
        <v>4.9504186960000002E-2</v>
      </c>
      <c r="F50" s="1">
        <v>0.1065765768</v>
      </c>
      <c r="G50" s="1">
        <v>0.1732005626</v>
      </c>
      <c r="H50" s="1">
        <v>0.14672599729999999</v>
      </c>
      <c r="I50" s="1">
        <v>0.2215556353</v>
      </c>
      <c r="J50" s="1">
        <v>0.32732564209999998</v>
      </c>
      <c r="K50" s="1">
        <v>0.13830001650000001</v>
      </c>
      <c r="L50" s="1">
        <v>0.13814368839999999</v>
      </c>
      <c r="M50" s="1"/>
      <c r="N50" s="1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</row>
    <row r="51" spans="4:95">
      <c r="D51" s="16">
        <v>429</v>
      </c>
      <c r="E51" s="1">
        <v>4.9351498479999999E-2</v>
      </c>
      <c r="F51" s="1">
        <v>0.10546684269999999</v>
      </c>
      <c r="G51" s="1">
        <v>0.17262125019999999</v>
      </c>
      <c r="H51" s="1">
        <v>0.14578989149999999</v>
      </c>
      <c r="I51" s="1">
        <v>0.2201890796</v>
      </c>
      <c r="J51" s="1">
        <v>0.32575529809999998</v>
      </c>
      <c r="K51" s="1">
        <v>0.137080282</v>
      </c>
      <c r="L51" s="1">
        <v>0.13708958030000001</v>
      </c>
      <c r="M51" s="1"/>
      <c r="N51" s="1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</row>
    <row r="52" spans="4:95">
      <c r="D52" s="16">
        <v>430</v>
      </c>
      <c r="E52" s="1">
        <v>4.9104187639999998E-2</v>
      </c>
      <c r="F52" s="1">
        <v>0.1043973342</v>
      </c>
      <c r="G52" s="1">
        <v>0.1716794968</v>
      </c>
      <c r="H52" s="1">
        <v>0.14504632349999999</v>
      </c>
      <c r="I52" s="1">
        <v>0.21872361000000001</v>
      </c>
      <c r="J52" s="1">
        <v>0.323900044</v>
      </c>
      <c r="K52" s="1">
        <v>0.13611920180000001</v>
      </c>
      <c r="L52" s="1">
        <v>0.13599877060000001</v>
      </c>
      <c r="M52" s="1"/>
      <c r="N52" s="1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</row>
    <row r="53" spans="4:95">
      <c r="D53" s="16">
        <v>431</v>
      </c>
      <c r="E53" s="1">
        <v>4.8990178850000003E-2</v>
      </c>
      <c r="F53" s="1">
        <v>0.1037095562</v>
      </c>
      <c r="G53" s="1">
        <v>0.1705334634</v>
      </c>
      <c r="H53" s="1">
        <v>0.14445178210000001</v>
      </c>
      <c r="I53" s="1">
        <v>0.2172262371</v>
      </c>
      <c r="J53" s="1">
        <v>0.32229796049999998</v>
      </c>
      <c r="K53" s="1">
        <v>0.13497370480000001</v>
      </c>
      <c r="L53" s="1">
        <v>0.13503757120000001</v>
      </c>
      <c r="M53" s="1"/>
      <c r="N53" s="1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</row>
    <row r="54" spans="4:95">
      <c r="D54" s="16">
        <v>432</v>
      </c>
      <c r="E54" s="1">
        <v>4.8918958749999998E-2</v>
      </c>
      <c r="F54" s="1">
        <v>0.10284745689999999</v>
      </c>
      <c r="G54" s="1">
        <v>0.17089906329999999</v>
      </c>
      <c r="H54" s="1">
        <v>0.14361663159999999</v>
      </c>
      <c r="I54" s="1">
        <v>0.21560376880000001</v>
      </c>
      <c r="J54" s="1">
        <v>0.3204622567</v>
      </c>
      <c r="K54" s="1">
        <v>0.1339776516</v>
      </c>
      <c r="L54" s="1">
        <v>0.13407605889999999</v>
      </c>
      <c r="M54" s="1"/>
      <c r="N54" s="1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</row>
    <row r="55" spans="4:95">
      <c r="D55" s="16">
        <v>433</v>
      </c>
      <c r="E55" s="1">
        <v>4.8848126079999998E-2</v>
      </c>
      <c r="F55" s="1">
        <v>0.1019761413</v>
      </c>
      <c r="G55" s="1">
        <v>0.169625476</v>
      </c>
      <c r="H55" s="1">
        <v>0.14304295180000001</v>
      </c>
      <c r="I55" s="1">
        <v>0.2138979584</v>
      </c>
      <c r="J55" s="1">
        <v>0.31883201</v>
      </c>
      <c r="K55" s="1">
        <v>0.1331841201</v>
      </c>
      <c r="L55" s="1">
        <v>0.13317579030000001</v>
      </c>
      <c r="M55" s="1"/>
      <c r="N55" s="1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</row>
    <row r="56" spans="4:95">
      <c r="D56" s="16">
        <v>434</v>
      </c>
      <c r="E56" s="1">
        <v>4.8909600820000003E-2</v>
      </c>
      <c r="F56" s="1">
        <v>0.1011542678</v>
      </c>
      <c r="G56" s="1">
        <v>0.16924114530000001</v>
      </c>
      <c r="H56" s="1">
        <v>0.14216881989999999</v>
      </c>
      <c r="I56" s="1">
        <v>0.2121839076</v>
      </c>
      <c r="J56" s="1">
        <v>0.3170030117</v>
      </c>
      <c r="K56" s="1">
        <v>0.1322450936</v>
      </c>
      <c r="L56" s="1">
        <v>0.132240355</v>
      </c>
      <c r="M56" s="1"/>
      <c r="N56" s="1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</row>
    <row r="57" spans="4:95">
      <c r="D57" s="16">
        <v>435</v>
      </c>
      <c r="E57" s="1">
        <v>4.8785503950000003E-2</v>
      </c>
      <c r="F57" s="1">
        <v>0.1005501598</v>
      </c>
      <c r="G57" s="1">
        <v>0.167508781</v>
      </c>
      <c r="H57" s="1">
        <v>0.1410660893</v>
      </c>
      <c r="I57" s="1">
        <v>0.210137412</v>
      </c>
      <c r="J57" s="1">
        <v>0.3150849342</v>
      </c>
      <c r="K57" s="1">
        <v>0.1313325018</v>
      </c>
      <c r="L57" s="1">
        <v>0.1312343031</v>
      </c>
      <c r="M57" s="1"/>
      <c r="N57" s="1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</row>
    <row r="58" spans="4:95">
      <c r="D58" s="16">
        <v>436</v>
      </c>
      <c r="E58" s="1">
        <v>4.8799723390000001E-2</v>
      </c>
      <c r="F58" s="1">
        <v>9.9761530759999995E-2</v>
      </c>
      <c r="G58" s="1">
        <v>0.16592127079999999</v>
      </c>
      <c r="H58" s="1">
        <v>0.1400835067</v>
      </c>
      <c r="I58" s="1">
        <v>0.2078439295</v>
      </c>
      <c r="J58" s="1">
        <v>0.31306400899999998</v>
      </c>
      <c r="K58" s="1">
        <v>0.13053151969999999</v>
      </c>
      <c r="L58" s="1">
        <v>0.13018287719999999</v>
      </c>
      <c r="M58" s="1"/>
      <c r="N58" s="1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</row>
    <row r="59" spans="4:95">
      <c r="D59" s="16">
        <v>437</v>
      </c>
      <c r="E59" s="1">
        <v>4.8709742719999997E-2</v>
      </c>
      <c r="F59" s="1">
        <v>9.8959244789999998E-2</v>
      </c>
      <c r="G59" s="1">
        <v>0.16532330210000001</v>
      </c>
      <c r="H59" s="1">
        <v>0.1389086246</v>
      </c>
      <c r="I59" s="1">
        <v>0.2052937299</v>
      </c>
      <c r="J59" s="1">
        <v>0.3109685183</v>
      </c>
      <c r="K59" s="1">
        <v>0.12953616679999999</v>
      </c>
      <c r="L59" s="1">
        <v>0.1292127669</v>
      </c>
      <c r="M59" s="1"/>
      <c r="N59" s="1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</row>
    <row r="60" spans="4:95">
      <c r="D60" s="16">
        <v>438</v>
      </c>
      <c r="E60" s="1">
        <v>4.8561818899999998E-2</v>
      </c>
      <c r="F60" s="1">
        <v>9.7748391330000003E-2</v>
      </c>
      <c r="G60" s="1">
        <v>0.1648384631</v>
      </c>
      <c r="H60" s="1">
        <v>0.13786841929999999</v>
      </c>
      <c r="I60" s="1">
        <v>0.20285086329999999</v>
      </c>
      <c r="J60" s="1">
        <v>0.30897268649999998</v>
      </c>
      <c r="K60" s="1">
        <v>0.12856039399999999</v>
      </c>
      <c r="L60" s="1">
        <v>0.12827740609999999</v>
      </c>
      <c r="M60" s="1"/>
      <c r="N60" s="1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</row>
    <row r="61" spans="4:95">
      <c r="D61" s="16">
        <v>439</v>
      </c>
      <c r="E61" s="1">
        <v>4.8637758939999998E-2</v>
      </c>
      <c r="F61" s="1">
        <v>9.7039617600000003E-2</v>
      </c>
      <c r="G61" s="1">
        <v>0.16468177740000001</v>
      </c>
      <c r="H61" s="1">
        <v>0.13686780630000001</v>
      </c>
      <c r="I61" s="1">
        <v>0.2004126161</v>
      </c>
      <c r="J61" s="1">
        <v>0.307000041</v>
      </c>
      <c r="K61" s="1">
        <v>0.1278060973</v>
      </c>
      <c r="L61" s="1">
        <v>0.12771643699999999</v>
      </c>
      <c r="M61" s="1"/>
      <c r="N61" s="1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</row>
    <row r="62" spans="4:95">
      <c r="D62" s="16">
        <v>440</v>
      </c>
      <c r="E62" s="1">
        <v>4.8482161019999997E-2</v>
      </c>
      <c r="F62" s="1">
        <v>9.6364706750000001E-2</v>
      </c>
      <c r="G62" s="1">
        <v>0.16414563360000001</v>
      </c>
      <c r="H62" s="1">
        <v>0.13571870329999999</v>
      </c>
      <c r="I62" s="1">
        <v>0.19795823100000001</v>
      </c>
      <c r="J62" s="1">
        <v>0.30481910709999999</v>
      </c>
      <c r="K62" s="1">
        <v>0.12691338360000001</v>
      </c>
      <c r="L62" s="1">
        <v>0.12690860030000001</v>
      </c>
      <c r="M62" s="1"/>
      <c r="N62" s="1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</row>
    <row r="63" spans="4:95">
      <c r="D63" s="16">
        <v>441</v>
      </c>
      <c r="E63" s="1">
        <v>4.8679973930000002E-2</v>
      </c>
      <c r="F63" s="1">
        <v>9.5115132630000002E-2</v>
      </c>
      <c r="G63" s="1">
        <v>0.16392444070000001</v>
      </c>
      <c r="H63" s="1">
        <v>0.1347473562</v>
      </c>
      <c r="I63" s="1">
        <v>0.1954297274</v>
      </c>
      <c r="J63" s="1">
        <v>0.30265763400000001</v>
      </c>
      <c r="K63" s="1">
        <v>0.12617059050000001</v>
      </c>
      <c r="L63" s="1">
        <v>0.12629215420000001</v>
      </c>
      <c r="M63" s="1"/>
      <c r="N63" s="1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</row>
    <row r="64" spans="4:95">
      <c r="D64" s="16">
        <v>442</v>
      </c>
      <c r="E64" s="1">
        <v>4.8608832060000003E-2</v>
      </c>
      <c r="F64" s="1">
        <v>9.50255245E-2</v>
      </c>
      <c r="G64" s="1">
        <v>0.16047322750000001</v>
      </c>
      <c r="H64" s="1">
        <v>0.13391865789999999</v>
      </c>
      <c r="I64" s="1">
        <v>0.1927177608</v>
      </c>
      <c r="J64" s="1">
        <v>0.30016002060000002</v>
      </c>
      <c r="K64" s="1">
        <v>0.1252263337</v>
      </c>
      <c r="L64" s="1">
        <v>0.12517091629999999</v>
      </c>
      <c r="M64" s="1"/>
      <c r="N64" s="1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</row>
    <row r="65" spans="4:95">
      <c r="D65" s="16">
        <v>443</v>
      </c>
      <c r="E65" s="1">
        <v>4.8689384010000003E-2</v>
      </c>
      <c r="F65" s="1">
        <v>9.4298444689999997E-2</v>
      </c>
      <c r="G65" s="1">
        <v>0.15994012360000001</v>
      </c>
      <c r="H65" s="1">
        <v>0.1327603161</v>
      </c>
      <c r="I65" s="1">
        <v>0.18980805579999999</v>
      </c>
      <c r="J65" s="1">
        <v>0.2977890372</v>
      </c>
      <c r="K65" s="1">
        <v>0.1244156361</v>
      </c>
      <c r="L65" s="1">
        <v>0.1244410425</v>
      </c>
      <c r="M65" s="1"/>
      <c r="N65" s="1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</row>
    <row r="66" spans="4:95">
      <c r="D66" s="16">
        <v>444</v>
      </c>
      <c r="E66" s="1">
        <v>4.8732936380000001E-2</v>
      </c>
      <c r="F66" s="1">
        <v>9.3375846740000004E-2</v>
      </c>
      <c r="G66" s="1">
        <v>0.1591993421</v>
      </c>
      <c r="H66" s="1">
        <v>0.13148324189999999</v>
      </c>
      <c r="I66" s="1">
        <v>0.1873752028</v>
      </c>
      <c r="J66" s="1">
        <v>0.29541543129999998</v>
      </c>
      <c r="K66" s="1">
        <v>0.1237029061</v>
      </c>
      <c r="L66" s="1">
        <v>0.123628296</v>
      </c>
      <c r="M66" s="1"/>
      <c r="N66" s="1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</row>
    <row r="67" spans="4:95">
      <c r="D67" s="16">
        <v>445</v>
      </c>
      <c r="E67" s="1">
        <v>4.874292761E-2</v>
      </c>
      <c r="F67" s="1">
        <v>9.2551909390000006E-2</v>
      </c>
      <c r="G67" s="1">
        <v>0.15938735009999999</v>
      </c>
      <c r="H67" s="1">
        <v>0.13027039169999999</v>
      </c>
      <c r="I67" s="1">
        <v>0.18474210799999999</v>
      </c>
      <c r="J67" s="1">
        <v>0.2930874228</v>
      </c>
      <c r="K67" s="1">
        <v>0.122901462</v>
      </c>
      <c r="L67" s="1">
        <v>0.12293502689999999</v>
      </c>
      <c r="M67" s="1"/>
      <c r="N67" s="1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</row>
    <row r="68" spans="4:95">
      <c r="D68" s="16">
        <v>446</v>
      </c>
      <c r="E68" s="1">
        <v>4.8753499979999997E-2</v>
      </c>
      <c r="F68" s="1">
        <v>9.1648682950000004E-2</v>
      </c>
      <c r="G68" s="1">
        <v>0.1584701687</v>
      </c>
      <c r="H68" s="1">
        <v>0.12918899950000001</v>
      </c>
      <c r="I68" s="1">
        <v>0.18202359970000001</v>
      </c>
      <c r="J68" s="1">
        <v>0.29069656129999999</v>
      </c>
      <c r="K68" s="1">
        <v>0.12213888019999999</v>
      </c>
      <c r="L68" s="1">
        <v>0.1222526431</v>
      </c>
      <c r="M68" s="1"/>
      <c r="N68" s="1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</row>
    <row r="69" spans="4:95">
      <c r="D69" s="16">
        <v>447</v>
      </c>
      <c r="E69" s="1">
        <v>4.8874691130000002E-2</v>
      </c>
      <c r="F69" s="1">
        <v>9.0852834280000003E-2</v>
      </c>
      <c r="G69" s="1">
        <v>0.15703395010000001</v>
      </c>
      <c r="H69" s="1">
        <v>0.1283463389</v>
      </c>
      <c r="I69" s="1">
        <v>0.17955301700000001</v>
      </c>
      <c r="J69" s="1">
        <v>0.28833001850000001</v>
      </c>
      <c r="K69" s="1">
        <v>0.1213041693</v>
      </c>
      <c r="L69" s="1">
        <v>0.121564582</v>
      </c>
      <c r="M69" s="1"/>
      <c r="N69" s="1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17"/>
      <c r="CF69" s="1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</row>
    <row r="70" spans="4:95">
      <c r="D70" s="16">
        <v>448</v>
      </c>
      <c r="E70" s="1">
        <v>4.8897460099999998E-2</v>
      </c>
      <c r="F70" s="1">
        <v>9.0135343369999996E-2</v>
      </c>
      <c r="G70" s="1">
        <v>0.15584065020000001</v>
      </c>
      <c r="H70" s="1">
        <v>0.12753549219999999</v>
      </c>
      <c r="I70" s="1">
        <v>0.17730934919999999</v>
      </c>
      <c r="J70" s="1">
        <v>0.28582674260000002</v>
      </c>
      <c r="K70" s="1">
        <v>0.12046074869999999</v>
      </c>
      <c r="L70" s="1">
        <v>0.12079096590000001</v>
      </c>
      <c r="M70" s="1"/>
      <c r="N70" s="1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</row>
    <row r="71" spans="4:95">
      <c r="D71" s="16">
        <v>449</v>
      </c>
      <c r="E71" s="1">
        <v>4.91886884E-2</v>
      </c>
      <c r="F71" s="1">
        <v>8.9676976199999994E-2</v>
      </c>
      <c r="G71" s="1">
        <v>0.15411142999999999</v>
      </c>
      <c r="H71" s="1">
        <v>0.1267933249</v>
      </c>
      <c r="I71" s="1">
        <v>0.1751510054</v>
      </c>
      <c r="J71" s="1">
        <v>0.28370228409999998</v>
      </c>
      <c r="K71" s="1">
        <v>0.1197469682</v>
      </c>
      <c r="L71" s="1">
        <v>0.1201436818</v>
      </c>
      <c r="M71" s="1"/>
      <c r="N71" s="1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</row>
    <row r="72" spans="4:95">
      <c r="D72" s="16">
        <v>450</v>
      </c>
      <c r="E72" s="1">
        <v>4.8936169590000002E-2</v>
      </c>
      <c r="F72" s="1">
        <v>8.8938161730000007E-2</v>
      </c>
      <c r="G72" s="1">
        <v>0.15344610810000001</v>
      </c>
      <c r="H72" s="1">
        <v>0.12570273879999999</v>
      </c>
      <c r="I72" s="1">
        <v>0.1727209985</v>
      </c>
      <c r="J72" s="1">
        <v>0.28113591669999999</v>
      </c>
      <c r="K72" s="1">
        <v>0.1188431829</v>
      </c>
      <c r="L72" s="1">
        <v>0.11919349429999999</v>
      </c>
      <c r="M72" s="1"/>
      <c r="N72" s="1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17"/>
      <c r="CF72" s="1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</row>
    <row r="73" spans="4:95">
      <c r="D73" s="16">
        <v>451</v>
      </c>
      <c r="E73" s="1">
        <v>4.920323938E-2</v>
      </c>
      <c r="F73" s="1">
        <v>8.8403597469999998E-2</v>
      </c>
      <c r="G73" s="1">
        <v>0.1517187357</v>
      </c>
      <c r="H73" s="1">
        <v>0.1248978749</v>
      </c>
      <c r="I73" s="1">
        <v>0.17076502739999999</v>
      </c>
      <c r="J73" s="1">
        <v>0.27893766759999999</v>
      </c>
      <c r="K73" s="1">
        <v>0.1182125956</v>
      </c>
      <c r="L73" s="1">
        <v>0.11857671290000001</v>
      </c>
      <c r="M73" s="1"/>
      <c r="N73" s="1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</row>
    <row r="74" spans="4:95">
      <c r="D74" s="16">
        <v>452</v>
      </c>
      <c r="E74" s="1">
        <v>4.9464821819999998E-2</v>
      </c>
      <c r="F74" s="1">
        <v>8.7697327140000003E-2</v>
      </c>
      <c r="G74" s="1">
        <v>0.1517138928</v>
      </c>
      <c r="H74" s="1">
        <v>0.1239848658</v>
      </c>
      <c r="I74" s="1">
        <v>0.16864308710000001</v>
      </c>
      <c r="J74" s="1">
        <v>0.27664339539999999</v>
      </c>
      <c r="K74" s="1">
        <v>0.1174324378</v>
      </c>
      <c r="L74" s="1">
        <v>0.1180580631</v>
      </c>
      <c r="M74" s="1"/>
      <c r="N74" s="1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</row>
    <row r="75" spans="4:95">
      <c r="D75" s="16">
        <v>453</v>
      </c>
      <c r="E75" s="1">
        <v>4.9636907879999997E-2</v>
      </c>
      <c r="F75" s="1">
        <v>8.6611427369999994E-2</v>
      </c>
      <c r="G75" s="1">
        <v>0.15150220689999999</v>
      </c>
      <c r="H75" s="1">
        <v>0.1233180612</v>
      </c>
      <c r="I75" s="1">
        <v>0.16678413750000001</v>
      </c>
      <c r="J75" s="1">
        <v>0.27444708350000002</v>
      </c>
      <c r="K75" s="1">
        <v>0.1167298779</v>
      </c>
      <c r="L75" s="1">
        <v>0.1173125729</v>
      </c>
      <c r="M75" s="1"/>
      <c r="N75" s="1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</row>
    <row r="76" spans="4:95">
      <c r="D76" s="16">
        <v>454</v>
      </c>
      <c r="E76" s="1">
        <v>4.982729256E-2</v>
      </c>
      <c r="F76" s="1">
        <v>8.6466759439999999E-2</v>
      </c>
      <c r="G76" s="1">
        <v>0.150022611</v>
      </c>
      <c r="H76" s="1">
        <v>0.1228111908</v>
      </c>
      <c r="I76" s="1">
        <v>0.16506746410000001</v>
      </c>
      <c r="J76" s="1">
        <v>0.27225103969999997</v>
      </c>
      <c r="K76" s="1">
        <v>0.1159823015</v>
      </c>
      <c r="L76" s="1">
        <v>0.1163965091</v>
      </c>
      <c r="M76" s="1"/>
      <c r="N76" s="1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</row>
    <row r="77" spans="4:95">
      <c r="D77" s="16">
        <v>455</v>
      </c>
      <c r="E77" s="1">
        <v>5.0057556480000001E-2</v>
      </c>
      <c r="F77" s="1">
        <v>8.5664108399999994E-2</v>
      </c>
      <c r="G77" s="1">
        <v>0.14957636590000001</v>
      </c>
      <c r="H77" s="1">
        <v>0.1223850697</v>
      </c>
      <c r="I77" s="1">
        <v>0.16332389410000001</v>
      </c>
      <c r="J77" s="1">
        <v>0.27024528380000001</v>
      </c>
      <c r="K77" s="1">
        <v>0.11552732440000001</v>
      </c>
      <c r="L77" s="1">
        <v>0.1160332561</v>
      </c>
      <c r="M77" s="1"/>
      <c r="N77" s="1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</row>
    <row r="78" spans="4:95">
      <c r="D78" s="16">
        <v>456</v>
      </c>
      <c r="E78" s="1">
        <v>5.0361014900000001E-2</v>
      </c>
      <c r="F78" s="1">
        <v>8.502696455E-2</v>
      </c>
      <c r="G78" s="1">
        <v>0.14988733830000001</v>
      </c>
      <c r="H78" s="1">
        <v>0.1219017357</v>
      </c>
      <c r="I78" s="1">
        <v>0.1616692394</v>
      </c>
      <c r="J78" s="1">
        <v>0.26811924580000002</v>
      </c>
      <c r="K78" s="1">
        <v>0.11481627079999999</v>
      </c>
      <c r="L78" s="1">
        <v>0.1154231057</v>
      </c>
      <c r="M78" s="1"/>
      <c r="N78" s="1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</row>
    <row r="79" spans="4:95">
      <c r="D79" s="16">
        <v>457</v>
      </c>
      <c r="E79" s="1">
        <v>5.0485532729999998E-2</v>
      </c>
      <c r="F79" s="1">
        <v>8.4440656010000004E-2</v>
      </c>
      <c r="G79" s="1">
        <v>0.14856028560000001</v>
      </c>
      <c r="H79" s="1">
        <v>0.1213810146</v>
      </c>
      <c r="I79" s="1">
        <v>0.16013672949999999</v>
      </c>
      <c r="J79" s="1">
        <v>0.26607102160000001</v>
      </c>
      <c r="K79" s="1">
        <v>0.1140167788</v>
      </c>
      <c r="L79" s="1">
        <v>0.1149237528</v>
      </c>
      <c r="M79" s="1"/>
      <c r="N79" s="1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</row>
    <row r="80" spans="4:95">
      <c r="D80" s="16">
        <v>458</v>
      </c>
      <c r="E80" s="1">
        <v>5.0817284730000002E-2</v>
      </c>
      <c r="F80" s="1">
        <v>8.4037981930000005E-2</v>
      </c>
      <c r="G80" s="1">
        <v>0.1490147859</v>
      </c>
      <c r="H80" s="1">
        <v>0.1205259264</v>
      </c>
      <c r="I80" s="1">
        <v>0.15840713679999999</v>
      </c>
      <c r="J80" s="1">
        <v>0.26415818930000001</v>
      </c>
      <c r="K80" s="1">
        <v>0.11337718369999999</v>
      </c>
      <c r="L80" s="1">
        <v>0.1143530086</v>
      </c>
      <c r="M80" s="1"/>
      <c r="N80" s="1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</row>
    <row r="81" spans="4:95">
      <c r="D81" s="16">
        <v>459</v>
      </c>
      <c r="E81" s="1">
        <v>5.1063764839999998E-2</v>
      </c>
      <c r="F81" s="1">
        <v>8.3141297099999997E-2</v>
      </c>
      <c r="G81" s="1">
        <v>0.150160566</v>
      </c>
      <c r="H81" s="1">
        <v>0.119874984</v>
      </c>
      <c r="I81" s="1">
        <v>0.15686422589999999</v>
      </c>
      <c r="J81" s="1">
        <v>0.26205906270000001</v>
      </c>
      <c r="K81" s="1">
        <v>0.1127447411</v>
      </c>
      <c r="L81" s="1">
        <v>0.1140650138</v>
      </c>
      <c r="M81" s="1"/>
      <c r="N81" s="1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</row>
    <row r="82" spans="4:95">
      <c r="D82" s="16">
        <v>460</v>
      </c>
      <c r="E82" s="1">
        <v>5.1344912499999999E-2</v>
      </c>
      <c r="F82" s="1">
        <v>8.18342492E-2</v>
      </c>
      <c r="G82" s="1">
        <v>0.1498306096</v>
      </c>
      <c r="H82" s="1">
        <v>0.1195697635</v>
      </c>
      <c r="I82" s="1">
        <v>0.15558241310000001</v>
      </c>
      <c r="J82" s="1">
        <v>0.26017883419999999</v>
      </c>
      <c r="K82" s="1">
        <v>0.1121499166</v>
      </c>
      <c r="L82" s="1">
        <v>0.1134156659</v>
      </c>
      <c r="M82" s="1"/>
      <c r="N82" s="1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</row>
    <row r="83" spans="4:95">
      <c r="D83" s="16">
        <v>461</v>
      </c>
      <c r="E83" s="1">
        <v>5.1696240900000003E-2</v>
      </c>
      <c r="F83" s="1">
        <v>8.3140134810000002E-2</v>
      </c>
      <c r="G83" s="1">
        <v>0.14613425729999999</v>
      </c>
      <c r="H83" s="1">
        <v>0.11977165939999999</v>
      </c>
      <c r="I83" s="1">
        <v>0.1545156986</v>
      </c>
      <c r="J83" s="1">
        <v>0.25835868719999999</v>
      </c>
      <c r="K83" s="1">
        <v>0.11141365020000001</v>
      </c>
      <c r="L83" s="1">
        <v>0.11252253500000001</v>
      </c>
      <c r="M83" s="1"/>
      <c r="N83" s="1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</row>
    <row r="84" spans="4:95">
      <c r="D84" s="16">
        <v>462</v>
      </c>
      <c r="E84" s="1">
        <v>5.1876097920000003E-2</v>
      </c>
      <c r="F84" s="1">
        <v>8.199310303E-2</v>
      </c>
      <c r="G84" s="1">
        <v>0.1450100392</v>
      </c>
      <c r="H84" s="1">
        <v>0.1190612912</v>
      </c>
      <c r="I84" s="1">
        <v>0.15314841269999999</v>
      </c>
      <c r="J84" s="1">
        <v>0.25647017360000002</v>
      </c>
      <c r="K84" s="1">
        <v>0.1107137725</v>
      </c>
      <c r="L84" s="1">
        <v>0.11198566109999999</v>
      </c>
      <c r="M84" s="1"/>
      <c r="N84" s="1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</row>
    <row r="85" spans="4:95">
      <c r="D85" s="16">
        <v>463</v>
      </c>
      <c r="E85" s="1">
        <v>5.2364885809999998E-2</v>
      </c>
      <c r="F85" s="1">
        <v>8.1213936210000004E-2</v>
      </c>
      <c r="G85" s="1">
        <v>0.14563113450000001</v>
      </c>
      <c r="H85" s="1">
        <v>0.11850835379999999</v>
      </c>
      <c r="I85" s="1">
        <v>0.15198735890000001</v>
      </c>
      <c r="J85" s="1">
        <v>0.254642278</v>
      </c>
      <c r="K85" s="1">
        <v>0.11019401249999999</v>
      </c>
      <c r="L85" s="1">
        <v>0.11147435009999999</v>
      </c>
      <c r="M85" s="1"/>
      <c r="N85" s="1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</row>
    <row r="86" spans="4:95">
      <c r="D86" s="16">
        <v>464</v>
      </c>
      <c r="E86" s="1">
        <v>5.2719235420000003E-2</v>
      </c>
      <c r="F86" s="1">
        <v>8.0640539529999999E-2</v>
      </c>
      <c r="G86" s="1">
        <v>0.1458335966</v>
      </c>
      <c r="H86" s="1">
        <v>0.1180914193</v>
      </c>
      <c r="I86" s="1">
        <v>0.15071892740000001</v>
      </c>
      <c r="J86" s="1">
        <v>0.2528326213</v>
      </c>
      <c r="K86" s="1">
        <v>0.1095503941</v>
      </c>
      <c r="L86" s="1">
        <v>0.1108754054</v>
      </c>
      <c r="M86" s="1"/>
      <c r="N86" s="1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</row>
    <row r="87" spans="4:95">
      <c r="D87" s="16">
        <v>465</v>
      </c>
      <c r="E87" s="1">
        <v>5.30028902E-2</v>
      </c>
      <c r="F87" s="1">
        <v>7.9970575870000005E-2</v>
      </c>
      <c r="G87" s="1">
        <v>0.14558950070000001</v>
      </c>
      <c r="H87" s="1">
        <v>0.11787964400000001</v>
      </c>
      <c r="I87" s="1">
        <v>0.14962345360000001</v>
      </c>
      <c r="J87" s="1">
        <v>0.25108143690000001</v>
      </c>
      <c r="K87" s="1">
        <v>0.1089981124</v>
      </c>
      <c r="L87" s="1">
        <v>0.11053948099999999</v>
      </c>
      <c r="M87" s="1"/>
      <c r="N87" s="1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17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</row>
    <row r="88" spans="4:95">
      <c r="D88" s="16">
        <v>466</v>
      </c>
      <c r="E88" s="1">
        <v>5.3432989870000003E-2</v>
      </c>
      <c r="F88" s="1">
        <v>8.0164492130000001E-2</v>
      </c>
      <c r="G88" s="1">
        <v>0.14533841610000001</v>
      </c>
      <c r="H88" s="1">
        <v>0.1177083552</v>
      </c>
      <c r="I88" s="1">
        <v>0.14866481719999999</v>
      </c>
      <c r="J88" s="1">
        <v>0.2494437695</v>
      </c>
      <c r="K88" s="1">
        <v>0.1085389853</v>
      </c>
      <c r="L88" s="1">
        <v>0.1100154221</v>
      </c>
      <c r="M88" s="1"/>
      <c r="N88" s="1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</row>
    <row r="89" spans="4:95">
      <c r="D89" s="16">
        <v>467</v>
      </c>
      <c r="E89" s="1">
        <v>5.3868174550000002E-2</v>
      </c>
      <c r="F89" s="1">
        <v>7.9555198549999998E-2</v>
      </c>
      <c r="G89" s="1">
        <v>0.14494863150000001</v>
      </c>
      <c r="H89" s="1">
        <v>0.117369242</v>
      </c>
      <c r="I89" s="1">
        <v>0.14762555059999999</v>
      </c>
      <c r="J89" s="1">
        <v>0.24780271949999999</v>
      </c>
      <c r="K89" s="1">
        <v>0.1079370752</v>
      </c>
      <c r="L89" s="1">
        <v>0.1095542908</v>
      </c>
      <c r="M89" s="1"/>
      <c r="N89" s="1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</row>
    <row r="90" spans="4:95">
      <c r="D90" s="16">
        <v>468</v>
      </c>
      <c r="E90" s="1">
        <v>5.4368045179999998E-2</v>
      </c>
      <c r="F90" s="1">
        <v>7.9039260750000007E-2</v>
      </c>
      <c r="G90" s="1">
        <v>0.14441207049999999</v>
      </c>
      <c r="H90" s="1">
        <v>0.1172312871</v>
      </c>
      <c r="I90" s="1">
        <v>0.14656487109999999</v>
      </c>
      <c r="J90" s="1">
        <v>0.2460606843</v>
      </c>
      <c r="K90" s="1">
        <v>0.1074550301</v>
      </c>
      <c r="L90" s="1">
        <v>0.1092196181</v>
      </c>
      <c r="M90" s="1"/>
      <c r="N90" s="1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  <c r="BI90" s="17"/>
      <c r="BJ90" s="17"/>
      <c r="BK90" s="17"/>
      <c r="BL90" s="17"/>
      <c r="BM90" s="17"/>
      <c r="BN90" s="17"/>
      <c r="BO90" s="17"/>
      <c r="BP90" s="17"/>
      <c r="BQ90" s="17"/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</row>
    <row r="91" spans="4:95">
      <c r="D91" s="16">
        <v>469</v>
      </c>
      <c r="E91" s="1">
        <v>5.471231788E-2</v>
      </c>
      <c r="F91" s="1">
        <v>7.8481934959999999E-2</v>
      </c>
      <c r="G91" s="1">
        <v>0.14383280279999999</v>
      </c>
      <c r="H91" s="1">
        <v>0.11695814879999999</v>
      </c>
      <c r="I91" s="1">
        <v>0.1454156935</v>
      </c>
      <c r="J91" s="1">
        <v>0.24434119460000001</v>
      </c>
      <c r="K91" s="1">
        <v>0.10675861690000001</v>
      </c>
      <c r="L91" s="1">
        <v>0.1084592268</v>
      </c>
      <c r="M91" s="1"/>
      <c r="N91" s="1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  <c r="BI91" s="17"/>
      <c r="BJ91" s="17"/>
      <c r="BK91" s="17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</row>
    <row r="92" spans="4:95">
      <c r="D92" s="16">
        <v>470</v>
      </c>
      <c r="E92" s="1">
        <v>5.524105579E-2</v>
      </c>
      <c r="F92" s="1">
        <v>7.7858582139999993E-2</v>
      </c>
      <c r="G92" s="1">
        <v>0.14377138019999999</v>
      </c>
      <c r="H92" s="1">
        <v>0.1167671382</v>
      </c>
      <c r="I92" s="1">
        <v>0.14450207349999999</v>
      </c>
      <c r="J92" s="1">
        <v>0.242766127</v>
      </c>
      <c r="K92" s="1">
        <v>0.10617331419999999</v>
      </c>
      <c r="L92" s="1">
        <v>0.108085826</v>
      </c>
      <c r="M92" s="1"/>
      <c r="N92" s="1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  <c r="BI92" s="17"/>
      <c r="BJ92" s="17"/>
      <c r="BK92" s="17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</row>
    <row r="93" spans="4:95">
      <c r="D93" s="16">
        <v>471</v>
      </c>
      <c r="E93" s="1">
        <v>5.5796194819999999E-2</v>
      </c>
      <c r="F93" s="1">
        <v>7.7571660279999996E-2</v>
      </c>
      <c r="G93" s="1">
        <v>0.14379912610000001</v>
      </c>
      <c r="H93" s="1">
        <v>0.1166062132</v>
      </c>
      <c r="I93" s="1">
        <v>0.1434843093</v>
      </c>
      <c r="J93" s="1">
        <v>0.24110357460000001</v>
      </c>
      <c r="K93" s="1">
        <v>0.1056511626</v>
      </c>
      <c r="L93" s="1">
        <v>0.1075389162</v>
      </c>
      <c r="M93" s="1"/>
      <c r="N93" s="1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  <c r="BI93" s="17"/>
      <c r="BJ93" s="17"/>
      <c r="BK93" s="17"/>
      <c r="BL93" s="17"/>
      <c r="BM93" s="17"/>
      <c r="BN93" s="17"/>
      <c r="BO93" s="17"/>
      <c r="BP93" s="17"/>
      <c r="BQ93" s="17"/>
      <c r="BR93" s="17"/>
      <c r="BS93" s="17"/>
      <c r="BT93" s="17"/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</row>
    <row r="94" spans="4:95">
      <c r="D94" s="16">
        <v>472</v>
      </c>
      <c r="E94" s="1">
        <v>5.6462164969999999E-2</v>
      </c>
      <c r="F94" s="1">
        <v>7.74448514E-2</v>
      </c>
      <c r="G94" s="1">
        <v>0.14435298739999999</v>
      </c>
      <c r="H94" s="1">
        <v>0.11660049109999999</v>
      </c>
      <c r="I94" s="1">
        <v>0.1428876519</v>
      </c>
      <c r="J94" s="1">
        <v>0.23977167899999999</v>
      </c>
      <c r="K94" s="1">
        <v>0.1051558554</v>
      </c>
      <c r="L94" s="1">
        <v>0.10713340339999999</v>
      </c>
      <c r="M94" s="1"/>
      <c r="N94" s="1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</row>
    <row r="95" spans="4:95">
      <c r="D95" s="16">
        <v>473</v>
      </c>
      <c r="E95" s="1">
        <v>5.6940477339999997E-2</v>
      </c>
      <c r="F95" s="1">
        <v>7.7225886290000004E-2</v>
      </c>
      <c r="G95" s="1">
        <v>0.14289854469999999</v>
      </c>
      <c r="H95" s="1">
        <v>0.1163811758</v>
      </c>
      <c r="I95" s="1">
        <v>0.14193603399999999</v>
      </c>
      <c r="J95" s="1">
        <v>0.2380457819</v>
      </c>
      <c r="K95" s="1">
        <v>0.1046015248</v>
      </c>
      <c r="L95" s="1">
        <v>0.106573768</v>
      </c>
      <c r="M95" s="1"/>
      <c r="N95" s="1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  <c r="BI95" s="17"/>
      <c r="BJ95" s="17"/>
      <c r="BK95" s="17"/>
      <c r="BL95" s="17"/>
      <c r="BM95" s="17"/>
      <c r="BN95" s="17"/>
      <c r="BO95" s="17"/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</row>
    <row r="96" spans="4:95">
      <c r="D96" s="16">
        <v>474</v>
      </c>
      <c r="E96" s="1">
        <v>5.7504855100000002E-2</v>
      </c>
      <c r="F96" s="1">
        <v>7.6612181959999998E-2</v>
      </c>
      <c r="G96" s="1">
        <v>0.1428459138</v>
      </c>
      <c r="H96" s="1">
        <v>0.1161393151</v>
      </c>
      <c r="I96" s="1">
        <v>0.14086961749999999</v>
      </c>
      <c r="J96" s="1">
        <v>0.23650093380000001</v>
      </c>
      <c r="K96" s="1">
        <v>0.1041074395</v>
      </c>
      <c r="L96" s="1">
        <v>0.1062707081</v>
      </c>
      <c r="M96" s="1"/>
      <c r="N96" s="1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</row>
    <row r="97" spans="4:95">
      <c r="D97" s="16">
        <v>475</v>
      </c>
      <c r="E97" s="1">
        <v>5.8241471650000001E-2</v>
      </c>
      <c r="F97" s="1">
        <v>7.6503865419999997E-2</v>
      </c>
      <c r="G97" s="1">
        <v>0.1419615149</v>
      </c>
      <c r="H97" s="1">
        <v>0.11607749019999999</v>
      </c>
      <c r="I97" s="1">
        <v>0.13998165730000001</v>
      </c>
      <c r="J97" s="1">
        <v>0.23492784799999999</v>
      </c>
      <c r="K97" s="1">
        <v>0.103463605</v>
      </c>
      <c r="L97" s="1">
        <v>0.1057191119</v>
      </c>
      <c r="M97" s="1"/>
      <c r="N97" s="1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  <c r="BI97" s="17"/>
      <c r="BJ97" s="17"/>
      <c r="BK97" s="17"/>
      <c r="BL97" s="17"/>
      <c r="BM97" s="17"/>
      <c r="BN97" s="17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</row>
    <row r="98" spans="4:95">
      <c r="D98" s="16">
        <v>476</v>
      </c>
      <c r="E98" s="1">
        <v>5.8785669509999999E-2</v>
      </c>
      <c r="F98" s="1">
        <v>7.606449723E-2</v>
      </c>
      <c r="G98" s="1">
        <v>0.14237532019999999</v>
      </c>
      <c r="H98" s="1">
        <v>0.115945451</v>
      </c>
      <c r="I98" s="1">
        <v>0.13908822830000001</v>
      </c>
      <c r="J98" s="1">
        <v>0.2334439307</v>
      </c>
      <c r="K98" s="1">
        <v>0.1029895842</v>
      </c>
      <c r="L98" s="1">
        <v>0.1054332852</v>
      </c>
      <c r="M98" s="1"/>
      <c r="N98" s="1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</row>
    <row r="99" spans="4:95">
      <c r="D99" s="16">
        <v>477</v>
      </c>
      <c r="E99" s="1">
        <v>5.9445649390000001E-2</v>
      </c>
      <c r="F99" s="1">
        <v>7.5658701359999997E-2</v>
      </c>
      <c r="G99" s="1">
        <v>0.14167387779999999</v>
      </c>
      <c r="H99" s="1">
        <v>0.11589860170000001</v>
      </c>
      <c r="I99" s="1">
        <v>0.13826777039999999</v>
      </c>
      <c r="J99" s="1">
        <v>0.23191498220000001</v>
      </c>
      <c r="K99" s="1">
        <v>0.10248943420000001</v>
      </c>
      <c r="L99" s="1">
        <v>0.1048762575</v>
      </c>
      <c r="M99" s="1"/>
      <c r="N99" s="1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</row>
    <row r="100" spans="4:95">
      <c r="D100" s="16">
        <v>478</v>
      </c>
      <c r="E100" s="1">
        <v>6.0160890219999999E-2</v>
      </c>
      <c r="F100" s="1">
        <v>7.5435832140000006E-2</v>
      </c>
      <c r="G100" s="1">
        <v>0.14147037270000001</v>
      </c>
      <c r="H100" s="1">
        <v>0.1160888895</v>
      </c>
      <c r="I100" s="1">
        <v>0.13760459420000001</v>
      </c>
      <c r="J100" s="1">
        <v>0.23058269919999999</v>
      </c>
      <c r="K100" s="1">
        <v>0.10209633410000001</v>
      </c>
      <c r="L100" s="1">
        <v>0.10469668360000001</v>
      </c>
      <c r="M100" s="1"/>
      <c r="N100" s="1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</row>
    <row r="101" spans="4:95">
      <c r="D101" s="16">
        <v>479</v>
      </c>
      <c r="E101" s="1">
        <v>6.1254113909999998E-2</v>
      </c>
      <c r="F101" s="1">
        <v>7.5296469029999993E-2</v>
      </c>
      <c r="G101" s="1">
        <v>0.14144778250000001</v>
      </c>
      <c r="H101" s="1">
        <v>0.116174154</v>
      </c>
      <c r="I101" s="1">
        <v>0.13695600629999999</v>
      </c>
      <c r="J101" s="1">
        <v>0.2292817533</v>
      </c>
      <c r="K101" s="1">
        <v>0.1015918106</v>
      </c>
      <c r="L101" s="1">
        <v>0.10440552979999999</v>
      </c>
      <c r="M101" s="1"/>
      <c r="N101" s="1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</row>
    <row r="102" spans="4:95">
      <c r="D102" s="16">
        <v>480</v>
      </c>
      <c r="E102" s="1">
        <v>6.2045197929999997E-2</v>
      </c>
      <c r="F102" s="1">
        <v>7.4950963260000003E-2</v>
      </c>
      <c r="G102" s="1">
        <v>0.140394941</v>
      </c>
      <c r="H102" s="1">
        <v>0.11603670570000001</v>
      </c>
      <c r="I102" s="1">
        <v>0.13611683250000001</v>
      </c>
      <c r="J102" s="1">
        <v>0.22752986850000001</v>
      </c>
      <c r="K102" s="1">
        <v>0.1008988172</v>
      </c>
      <c r="L102" s="1">
        <v>0.1036289334</v>
      </c>
      <c r="M102" s="1"/>
      <c r="N102" s="1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</row>
    <row r="103" spans="4:95">
      <c r="D103" s="16">
        <v>481</v>
      </c>
      <c r="E103" s="1">
        <v>6.319884211E-2</v>
      </c>
      <c r="F103" s="1">
        <v>7.4848048390000005E-2</v>
      </c>
      <c r="G103" s="1">
        <v>0.14197666940000001</v>
      </c>
      <c r="H103" s="1">
        <v>0.1161175668</v>
      </c>
      <c r="I103" s="1">
        <v>0.13571399449999999</v>
      </c>
      <c r="J103" s="1">
        <v>0.2261858135</v>
      </c>
      <c r="K103" s="1">
        <v>0.1005408913</v>
      </c>
      <c r="L103" s="1">
        <v>0.1033765301</v>
      </c>
      <c r="M103" s="1"/>
      <c r="N103" s="1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</row>
    <row r="104" spans="4:95">
      <c r="D104" s="16">
        <v>482</v>
      </c>
      <c r="E104" s="1">
        <v>6.3802868129999996E-2</v>
      </c>
      <c r="F104" s="1">
        <v>7.4659772220000004E-2</v>
      </c>
      <c r="G104" s="1">
        <v>0.14287340640000001</v>
      </c>
      <c r="H104" s="1">
        <v>0.1159503236</v>
      </c>
      <c r="I104" s="1">
        <v>0.1348096281</v>
      </c>
      <c r="J104" s="1">
        <v>0.22466005380000001</v>
      </c>
      <c r="K104" s="1">
        <v>9.9902451040000007E-2</v>
      </c>
      <c r="L104" s="1">
        <v>0.1028337181</v>
      </c>
      <c r="M104" s="1"/>
      <c r="N104" s="1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</row>
    <row r="105" spans="4:95">
      <c r="D105" s="16">
        <v>483</v>
      </c>
      <c r="E105" s="1">
        <v>6.5243177119999995E-2</v>
      </c>
      <c r="F105" s="1">
        <v>7.4662230910000002E-2</v>
      </c>
      <c r="G105" s="1">
        <v>0.14513219890000001</v>
      </c>
      <c r="H105" s="1">
        <v>0.1161855534</v>
      </c>
      <c r="I105" s="1">
        <v>0.13428795339999999</v>
      </c>
      <c r="J105" s="1">
        <v>0.22368165849999999</v>
      </c>
      <c r="K105" s="1">
        <v>9.9699325859999993E-2</v>
      </c>
      <c r="L105" s="1">
        <v>0.10306893289999999</v>
      </c>
      <c r="M105" s="1"/>
      <c r="N105" s="1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</row>
    <row r="106" spans="4:95">
      <c r="D106" s="16">
        <v>484</v>
      </c>
      <c r="E106" s="1">
        <v>6.5780505540000006E-2</v>
      </c>
      <c r="F106" s="1">
        <v>7.2782799600000003E-2</v>
      </c>
      <c r="G106" s="1">
        <v>0.14592334630000001</v>
      </c>
      <c r="H106" s="1">
        <v>0.1162839606</v>
      </c>
      <c r="I106" s="1">
        <v>0.1336913854</v>
      </c>
      <c r="J106" s="1">
        <v>0.22226352990000001</v>
      </c>
      <c r="K106" s="1">
        <v>9.9245592950000003E-2</v>
      </c>
      <c r="L106" s="1">
        <v>0.102746211</v>
      </c>
      <c r="M106" s="1"/>
      <c r="N106" s="1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</row>
    <row r="107" spans="4:95">
      <c r="D107" s="16">
        <v>485</v>
      </c>
      <c r="E107" s="1">
        <v>6.6577047109999996E-2</v>
      </c>
      <c r="F107" s="1">
        <v>7.4778482320000006E-2</v>
      </c>
      <c r="G107" s="1">
        <v>0.13988232610000001</v>
      </c>
      <c r="H107" s="1">
        <v>0.1171259806</v>
      </c>
      <c r="I107" s="1">
        <v>0.13327144090000001</v>
      </c>
      <c r="J107" s="1">
        <v>0.22105093300000001</v>
      </c>
      <c r="K107" s="1">
        <v>9.8578773440000003E-2</v>
      </c>
      <c r="L107" s="1">
        <v>0.1016608626</v>
      </c>
      <c r="M107" s="1"/>
      <c r="N107" s="1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</row>
    <row r="108" spans="4:95">
      <c r="D108" s="16">
        <v>486</v>
      </c>
      <c r="E108" s="1">
        <v>6.7754216490000005E-2</v>
      </c>
      <c r="F108" s="1">
        <v>7.4989661570000005E-2</v>
      </c>
      <c r="G108" s="1">
        <v>0.14045667649999999</v>
      </c>
      <c r="H108" s="1">
        <v>0.1170247346</v>
      </c>
      <c r="I108" s="1">
        <v>0.1325624436</v>
      </c>
      <c r="J108" s="1">
        <v>0.219896704</v>
      </c>
      <c r="K108" s="1">
        <v>9.8082765939999997E-2</v>
      </c>
      <c r="L108" s="1">
        <v>0.101312086</v>
      </c>
      <c r="M108" s="1"/>
      <c r="N108" s="1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</row>
    <row r="109" spans="4:95">
      <c r="D109" s="16">
        <v>487</v>
      </c>
      <c r="E109" s="1">
        <v>6.893191487E-2</v>
      </c>
      <c r="F109" s="1">
        <v>7.3637746269999999E-2</v>
      </c>
      <c r="G109" s="1">
        <v>0.14447918530000001</v>
      </c>
      <c r="H109" s="1">
        <v>0.1169703081</v>
      </c>
      <c r="I109" s="1">
        <v>0.1320356727</v>
      </c>
      <c r="J109" s="1">
        <v>0.21852388980000001</v>
      </c>
      <c r="K109" s="1">
        <v>9.7666792569999994E-2</v>
      </c>
      <c r="L109" s="1">
        <v>0.10141064230000001</v>
      </c>
      <c r="M109" s="1"/>
      <c r="N109" s="1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</row>
    <row r="110" spans="4:95">
      <c r="D110" s="16">
        <v>488</v>
      </c>
      <c r="E110" s="1">
        <v>6.9978766139999996E-2</v>
      </c>
      <c r="F110" s="1">
        <v>7.3309101160000001E-2</v>
      </c>
      <c r="G110" s="1">
        <v>0.1429901421</v>
      </c>
      <c r="H110" s="1">
        <v>0.1173562557</v>
      </c>
      <c r="I110" s="1">
        <v>0.13139845429999999</v>
      </c>
      <c r="J110" s="1">
        <v>0.2173015475</v>
      </c>
      <c r="K110" s="1">
        <v>9.7166642550000001E-2</v>
      </c>
      <c r="L110" s="1">
        <v>0.1005124748</v>
      </c>
      <c r="M110" s="1"/>
      <c r="N110" s="1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</row>
    <row r="111" spans="4:95">
      <c r="D111" s="16">
        <v>489</v>
      </c>
      <c r="E111" s="1">
        <v>7.0858858529999999E-2</v>
      </c>
      <c r="F111" s="1">
        <v>7.4495278299999995E-2</v>
      </c>
      <c r="G111" s="1">
        <v>0.1399499327</v>
      </c>
      <c r="H111" s="1">
        <v>0.11787057669999999</v>
      </c>
      <c r="I111" s="1">
        <v>0.1312570572</v>
      </c>
      <c r="J111" s="1">
        <v>0.21622830630000001</v>
      </c>
      <c r="K111" s="1">
        <v>9.669815004E-2</v>
      </c>
      <c r="L111" s="1">
        <v>9.996517748E-2</v>
      </c>
      <c r="M111" s="1"/>
      <c r="N111" s="1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</row>
    <row r="112" spans="4:95">
      <c r="D112" s="16">
        <v>490</v>
      </c>
      <c r="E112" s="1">
        <v>7.2368495170000005E-2</v>
      </c>
      <c r="F112" s="1">
        <v>7.4875846509999996E-2</v>
      </c>
      <c r="G112" s="1">
        <v>0.1411088556</v>
      </c>
      <c r="H112" s="1">
        <v>0.1183240041</v>
      </c>
      <c r="I112" s="1">
        <v>0.13108661769999999</v>
      </c>
      <c r="J112" s="1">
        <v>0.21534091229999999</v>
      </c>
      <c r="K112" s="1">
        <v>9.6476085480000001E-2</v>
      </c>
      <c r="L112" s="1">
        <v>9.9886946379999994E-2</v>
      </c>
      <c r="M112" s="1"/>
      <c r="N112" s="1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  <c r="BI112" s="17"/>
      <c r="BJ112" s="17"/>
      <c r="BK112" s="17"/>
      <c r="BL112" s="17"/>
      <c r="BM112" s="17"/>
      <c r="BN112" s="17"/>
      <c r="BO112" s="17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</row>
    <row r="113" spans="4:95">
      <c r="D113" s="16">
        <v>491</v>
      </c>
      <c r="E113" s="1">
        <v>7.3402553800000006E-2</v>
      </c>
      <c r="F113" s="1">
        <v>7.3935925959999996E-2</v>
      </c>
      <c r="G113" s="1">
        <v>0.14481098949999999</v>
      </c>
      <c r="H113" s="1">
        <v>0.1182745472</v>
      </c>
      <c r="I113" s="1">
        <v>0.13033521179999999</v>
      </c>
      <c r="J113" s="1">
        <v>0.21393083039999999</v>
      </c>
      <c r="K113" s="1">
        <v>9.6051670610000001E-2</v>
      </c>
      <c r="L113" s="1">
        <v>9.9838763479999995E-2</v>
      </c>
      <c r="M113" s="1"/>
      <c r="N113" s="1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  <c r="BI113" s="17"/>
      <c r="BJ113" s="17"/>
      <c r="BK113" s="17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</row>
    <row r="114" spans="4:95">
      <c r="D114" s="16">
        <v>492</v>
      </c>
      <c r="E114" s="1">
        <v>7.4216619129999994E-2</v>
      </c>
      <c r="F114" s="1">
        <v>7.2700105609999996E-2</v>
      </c>
      <c r="G114" s="1">
        <v>0.14417454599999999</v>
      </c>
      <c r="H114" s="1">
        <v>0.118749775</v>
      </c>
      <c r="I114" s="1">
        <v>0.129924655</v>
      </c>
      <c r="J114" s="1">
        <v>0.21287648379999999</v>
      </c>
      <c r="K114" s="1">
        <v>9.5577821140000005E-2</v>
      </c>
      <c r="L114" s="1">
        <v>9.9361352619999996E-2</v>
      </c>
      <c r="M114" s="1"/>
      <c r="N114" s="1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</row>
    <row r="115" spans="4:95">
      <c r="D115" s="16">
        <v>493</v>
      </c>
      <c r="E115" s="1">
        <v>7.5163491070000005E-2</v>
      </c>
      <c r="F115" s="1">
        <v>7.4636876579999997E-2</v>
      </c>
      <c r="G115" s="1">
        <v>0.13996039330000001</v>
      </c>
      <c r="H115" s="1">
        <v>0.1195777729</v>
      </c>
      <c r="I115" s="1">
        <v>0.12970036269999999</v>
      </c>
      <c r="J115" s="1">
        <v>0.21161533890000001</v>
      </c>
      <c r="K115" s="1">
        <v>9.4780772920000006E-2</v>
      </c>
      <c r="L115" s="1">
        <v>9.8552078010000002E-2</v>
      </c>
      <c r="M115" s="1"/>
      <c r="N115" s="1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  <c r="BI115" s="17"/>
      <c r="BJ115" s="17"/>
      <c r="BK115" s="17"/>
      <c r="BL115" s="17"/>
      <c r="BM115" s="17"/>
      <c r="BN115" s="17"/>
      <c r="BO115" s="17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</row>
    <row r="116" spans="4:95">
      <c r="D116" s="16">
        <v>494</v>
      </c>
      <c r="E116" s="1">
        <v>7.6257795099999998E-2</v>
      </c>
      <c r="F116" s="1">
        <v>7.4258357289999993E-2</v>
      </c>
      <c r="G116" s="1">
        <v>0.1410235316</v>
      </c>
      <c r="H116" s="1">
        <v>0.1197249368</v>
      </c>
      <c r="I116" s="1">
        <v>0.1295268238</v>
      </c>
      <c r="J116" s="1">
        <v>0.2105590403</v>
      </c>
      <c r="K116" s="1">
        <v>9.4346493480000002E-2</v>
      </c>
      <c r="L116" s="1">
        <v>9.8125241700000004E-2</v>
      </c>
      <c r="M116" s="1"/>
      <c r="N116" s="1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</row>
    <row r="117" spans="4:95">
      <c r="D117" s="16">
        <v>495</v>
      </c>
      <c r="E117" s="1">
        <v>7.7659592030000002E-2</v>
      </c>
      <c r="F117" s="1">
        <v>7.4185721580000002E-2</v>
      </c>
      <c r="G117" s="1">
        <v>0.14275173839999999</v>
      </c>
      <c r="H117" s="1">
        <v>0.12024842199999999</v>
      </c>
      <c r="I117" s="1">
        <v>0.12913946809999999</v>
      </c>
      <c r="J117" s="1">
        <v>0.20963858069999999</v>
      </c>
      <c r="K117" s="1">
        <v>9.4058118760000003E-2</v>
      </c>
      <c r="L117" s="1">
        <v>9.7761586309999995E-2</v>
      </c>
      <c r="M117" s="1"/>
      <c r="N117" s="1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</row>
    <row r="118" spans="4:95">
      <c r="D118" s="16">
        <v>496</v>
      </c>
      <c r="E118" s="1">
        <v>7.9034723340000002E-2</v>
      </c>
      <c r="F118" s="1">
        <v>7.4068039660000001E-2</v>
      </c>
      <c r="G118" s="1">
        <v>0.14402917030000001</v>
      </c>
      <c r="H118" s="1">
        <v>0.12063619489999999</v>
      </c>
      <c r="I118" s="1">
        <v>0.12868571279999999</v>
      </c>
      <c r="J118" s="1">
        <v>0.208619833</v>
      </c>
      <c r="K118" s="1">
        <v>9.3696177010000006E-2</v>
      </c>
      <c r="L118" s="1">
        <v>9.7719863059999995E-2</v>
      </c>
      <c r="M118" s="1"/>
      <c r="N118" s="1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</row>
    <row r="119" spans="4:95">
      <c r="D119" s="16">
        <v>497</v>
      </c>
      <c r="E119" s="1">
        <v>7.9959653320000004E-2</v>
      </c>
      <c r="F119" s="1">
        <v>7.3469839989999994E-2</v>
      </c>
      <c r="G119" s="1">
        <v>0.14471119639999999</v>
      </c>
      <c r="H119" s="1">
        <v>0.1208804101</v>
      </c>
      <c r="I119" s="1">
        <v>0.12853336330000001</v>
      </c>
      <c r="J119" s="1">
        <v>0.2075117826</v>
      </c>
      <c r="K119" s="1">
        <v>9.3151494860000003E-2</v>
      </c>
      <c r="L119" s="1">
        <v>9.7315862769999997E-2</v>
      </c>
      <c r="M119" s="1"/>
      <c r="N119" s="1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  <c r="BI119" s="17"/>
      <c r="BJ119" s="17"/>
      <c r="BK119" s="17"/>
      <c r="BL119" s="17"/>
      <c r="BM119" s="17"/>
      <c r="BN119" s="17"/>
      <c r="BO119" s="17"/>
      <c r="BP119" s="17"/>
      <c r="BQ119" s="17"/>
      <c r="BR119" s="17"/>
      <c r="BS119" s="17"/>
      <c r="BT119" s="17"/>
      <c r="BU119" s="17"/>
      <c r="BV119" s="17"/>
      <c r="BW119" s="17"/>
      <c r="BX119" s="17"/>
      <c r="BY119" s="17"/>
      <c r="BZ119" s="17"/>
      <c r="CA119" s="17"/>
      <c r="CB119" s="17"/>
      <c r="CC119" s="17"/>
      <c r="CD119" s="17"/>
      <c r="CE119" s="17"/>
      <c r="CF119" s="1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</row>
    <row r="120" spans="4:95">
      <c r="D120" s="16">
        <v>498</v>
      </c>
      <c r="E120" s="1">
        <v>8.1305943429999999E-2</v>
      </c>
      <c r="F120" s="1">
        <v>7.4145250019999998E-2</v>
      </c>
      <c r="G120" s="1">
        <v>0.14365835490000001</v>
      </c>
      <c r="H120" s="1">
        <v>0.1218380257</v>
      </c>
      <c r="I120" s="1">
        <v>0.12841884789999999</v>
      </c>
      <c r="J120" s="1">
        <v>0.20676486190000001</v>
      </c>
      <c r="K120" s="1">
        <v>9.279476851E-2</v>
      </c>
      <c r="L120" s="1">
        <v>9.7176387909999995E-2</v>
      </c>
      <c r="M120" s="1"/>
      <c r="N120" s="1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</row>
    <row r="121" spans="4:95">
      <c r="D121" s="16">
        <v>499</v>
      </c>
      <c r="E121" s="1">
        <v>8.2546003160000006E-2</v>
      </c>
      <c r="F121" s="1">
        <v>7.4152037500000004E-2</v>
      </c>
      <c r="G121" s="1">
        <v>0.143935591</v>
      </c>
      <c r="H121" s="1">
        <v>0.1222951114</v>
      </c>
      <c r="I121" s="1">
        <v>0.12812884150000001</v>
      </c>
      <c r="J121" s="1">
        <v>0.20573154090000001</v>
      </c>
      <c r="K121" s="1">
        <v>9.22088623E-2</v>
      </c>
      <c r="L121" s="1">
        <v>9.6415929499999997E-2</v>
      </c>
      <c r="M121" s="1"/>
      <c r="N121" s="1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  <c r="BI121" s="17"/>
      <c r="BJ121" s="17"/>
      <c r="BK121" s="17"/>
      <c r="BL121" s="17"/>
      <c r="BM121" s="17"/>
      <c r="BN121" s="17"/>
      <c r="BO121" s="17"/>
      <c r="BP121" s="17"/>
      <c r="BQ121" s="17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  <c r="CC121" s="17"/>
      <c r="CD121" s="17"/>
      <c r="CE121" s="17"/>
      <c r="CF121" s="1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</row>
    <row r="122" spans="4:95">
      <c r="D122" s="16">
        <v>500</v>
      </c>
      <c r="E122" s="1">
        <v>8.387765288E-2</v>
      </c>
      <c r="F122" s="1">
        <v>7.4224814769999994E-2</v>
      </c>
      <c r="G122" s="1">
        <v>0.14434052999999999</v>
      </c>
      <c r="H122" s="1">
        <v>0.12312293050000001</v>
      </c>
      <c r="I122" s="1">
        <v>0.12810784580000001</v>
      </c>
      <c r="J122" s="1">
        <v>0.20488239820000001</v>
      </c>
      <c r="K122" s="1">
        <v>9.181661159E-2</v>
      </c>
      <c r="L122" s="1">
        <v>9.5918893810000003E-2</v>
      </c>
      <c r="M122" s="1"/>
      <c r="N122" s="1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  <c r="BI122" s="17"/>
      <c r="BJ122" s="17"/>
      <c r="BK122" s="17"/>
      <c r="BL122" s="17"/>
      <c r="BM122" s="17"/>
      <c r="BN122" s="17"/>
      <c r="BO122" s="17"/>
      <c r="BP122" s="17"/>
      <c r="BQ122" s="17"/>
      <c r="BR122" s="17"/>
      <c r="BS122" s="17"/>
      <c r="BT122" s="17"/>
      <c r="BU122" s="17"/>
      <c r="BV122" s="17"/>
      <c r="BW122" s="17"/>
      <c r="BX122" s="17"/>
      <c r="BY122" s="17"/>
      <c r="BZ122" s="17"/>
      <c r="CA122" s="17"/>
      <c r="CB122" s="17"/>
      <c r="CC122" s="17"/>
      <c r="CD122" s="17"/>
      <c r="CE122" s="17"/>
      <c r="CF122" s="1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</row>
    <row r="123" spans="4:95">
      <c r="D123" s="16">
        <v>501</v>
      </c>
      <c r="E123" s="1">
        <v>8.4856919939999997E-2</v>
      </c>
      <c r="F123" s="1">
        <v>7.427521795E-2</v>
      </c>
      <c r="G123" s="1">
        <v>0.14458999040000001</v>
      </c>
      <c r="H123" s="1">
        <v>0.12361428889999999</v>
      </c>
      <c r="I123" s="1">
        <v>0.12801977989999999</v>
      </c>
      <c r="J123" s="1">
        <v>0.2038678676</v>
      </c>
      <c r="K123" s="1">
        <v>9.1299571100000004E-2</v>
      </c>
      <c r="L123" s="1">
        <v>9.5340013500000001E-2</v>
      </c>
      <c r="M123" s="1"/>
      <c r="N123" s="1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  <c r="BI123" s="17"/>
      <c r="BJ123" s="17"/>
      <c r="BK123" s="17"/>
      <c r="BL123" s="17"/>
      <c r="BM123" s="17"/>
      <c r="BN123" s="17"/>
      <c r="BO123" s="17"/>
      <c r="BP123" s="17"/>
      <c r="BQ123" s="17"/>
      <c r="BR123" s="17"/>
      <c r="BS123" s="17"/>
      <c r="BT123" s="17"/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</row>
    <row r="124" spans="4:95">
      <c r="D124" s="16">
        <v>502</v>
      </c>
      <c r="E124" s="1">
        <v>8.6212761700000001E-2</v>
      </c>
      <c r="F124" s="1">
        <v>7.4221991000000001E-2</v>
      </c>
      <c r="G124" s="1">
        <v>0.14464831349999999</v>
      </c>
      <c r="H124" s="1">
        <v>0.12419889119999999</v>
      </c>
      <c r="I124" s="1">
        <v>0.12771052120000001</v>
      </c>
      <c r="J124" s="1">
        <v>0.2028733194</v>
      </c>
      <c r="K124" s="1">
        <v>9.0958498420000006E-2</v>
      </c>
      <c r="L124" s="1">
        <v>9.4906561079999993E-2</v>
      </c>
      <c r="M124" s="1"/>
      <c r="N124" s="1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</row>
    <row r="125" spans="4:95">
      <c r="D125" s="16">
        <v>503</v>
      </c>
      <c r="E125" s="1">
        <v>8.7329857050000001E-2</v>
      </c>
      <c r="F125" s="1">
        <v>7.4131101369999994E-2</v>
      </c>
      <c r="G125" s="1">
        <v>0.1458850652</v>
      </c>
      <c r="H125" s="1">
        <v>0.12468598779999999</v>
      </c>
      <c r="I125" s="1">
        <v>0.12731327119999999</v>
      </c>
      <c r="J125" s="1">
        <v>0.20177739859999999</v>
      </c>
      <c r="K125" s="1">
        <v>9.0418413279999998E-2</v>
      </c>
      <c r="L125" s="1">
        <v>9.4501473010000003E-2</v>
      </c>
      <c r="M125" s="1"/>
      <c r="N125" s="1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</row>
    <row r="126" spans="4:95">
      <c r="D126" s="16">
        <v>504</v>
      </c>
      <c r="E126" s="1">
        <v>8.8651515540000003E-2</v>
      </c>
      <c r="F126" s="1">
        <v>7.398445159E-2</v>
      </c>
      <c r="G126" s="1">
        <v>0.14636915919999999</v>
      </c>
      <c r="H126" s="1">
        <v>0.1255664527</v>
      </c>
      <c r="I126" s="1">
        <v>0.12729562820000001</v>
      </c>
      <c r="J126" s="1">
        <v>0.20093220470000001</v>
      </c>
      <c r="K126" s="1">
        <v>8.9935712520000002E-2</v>
      </c>
      <c r="L126" s="1">
        <v>9.4141349200000002E-2</v>
      </c>
      <c r="M126" s="1"/>
      <c r="N126" s="1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  <c r="BI126" s="17"/>
      <c r="BJ126" s="17"/>
      <c r="BK126" s="17"/>
      <c r="BL126" s="17"/>
      <c r="BM126" s="17"/>
      <c r="BN126" s="17"/>
      <c r="BO126" s="17"/>
      <c r="BP126" s="17"/>
      <c r="BQ126" s="17"/>
      <c r="BR126" s="17"/>
      <c r="BS126" s="17"/>
      <c r="BT126" s="17"/>
      <c r="BU126" s="17"/>
      <c r="BV126" s="17"/>
      <c r="BW126" s="17"/>
      <c r="BX126" s="17"/>
      <c r="BY126" s="17"/>
      <c r="BZ126" s="17"/>
      <c r="CA126" s="17"/>
      <c r="CB126" s="17"/>
      <c r="CC126" s="17"/>
      <c r="CD126" s="17"/>
      <c r="CE126" s="17"/>
      <c r="CF126" s="1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</row>
    <row r="127" spans="4:95">
      <c r="D127" s="16">
        <v>505</v>
      </c>
      <c r="E127" s="1">
        <v>9.0185038750000002E-2</v>
      </c>
      <c r="F127" s="1">
        <v>7.4195243420000001E-2</v>
      </c>
      <c r="G127" s="1">
        <v>0.14553575220000001</v>
      </c>
      <c r="H127" s="1">
        <v>0.12627595659999999</v>
      </c>
      <c r="I127" s="1">
        <v>0.12718817590000001</v>
      </c>
      <c r="J127" s="1">
        <v>0.20017898079999999</v>
      </c>
      <c r="K127" s="1">
        <v>8.9518815279999997E-2</v>
      </c>
      <c r="L127" s="1">
        <v>9.3543387950000001E-2</v>
      </c>
      <c r="M127" s="1"/>
      <c r="N127" s="1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  <c r="BI127" s="17"/>
      <c r="BJ127" s="17"/>
      <c r="BK127" s="17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  <c r="BW127" s="17"/>
      <c r="BX127" s="17"/>
      <c r="BY127" s="17"/>
      <c r="BZ127" s="17"/>
      <c r="CA127" s="17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</row>
    <row r="128" spans="4:95">
      <c r="D128" s="16">
        <v>506</v>
      </c>
      <c r="E128" s="1">
        <v>9.1161638500000003E-2</v>
      </c>
      <c r="F128" s="1">
        <v>7.4424080549999994E-2</v>
      </c>
      <c r="G128" s="1">
        <v>0.146102801</v>
      </c>
      <c r="H128" s="1">
        <v>0.12686325609999999</v>
      </c>
      <c r="I128" s="1">
        <v>0.12729802730000001</v>
      </c>
      <c r="J128" s="1">
        <v>0.19924567639999999</v>
      </c>
      <c r="K128" s="1">
        <v>8.8931210339999997E-2</v>
      </c>
      <c r="L128" s="1">
        <v>9.311553836E-2</v>
      </c>
      <c r="M128" s="1"/>
      <c r="N128" s="1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</row>
    <row r="129" spans="4:95">
      <c r="D129" s="16">
        <v>507</v>
      </c>
      <c r="E129" s="1">
        <v>9.2715926470000001E-2</v>
      </c>
      <c r="F129" s="1">
        <v>7.4620306489999996E-2</v>
      </c>
      <c r="G129" s="1">
        <v>0.14662973579999999</v>
      </c>
      <c r="H129" s="1">
        <v>0.12780122460000001</v>
      </c>
      <c r="I129" s="1">
        <v>0.12731583420000001</v>
      </c>
      <c r="J129" s="1">
        <v>0.1983157992</v>
      </c>
      <c r="K129" s="1">
        <v>8.8643737139999998E-2</v>
      </c>
      <c r="L129" s="1">
        <v>9.2842109500000006E-2</v>
      </c>
      <c r="M129" s="1"/>
      <c r="N129" s="1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  <c r="BI129" s="17"/>
      <c r="BJ129" s="17"/>
      <c r="BK129" s="17"/>
      <c r="BL129" s="17"/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  <c r="BW129" s="17"/>
      <c r="BX129" s="17"/>
      <c r="BY129" s="17"/>
      <c r="BZ129" s="17"/>
      <c r="CA129" s="17"/>
      <c r="CB129" s="17"/>
      <c r="CC129" s="17"/>
      <c r="CD129" s="17"/>
      <c r="CE129" s="17"/>
      <c r="CF129" s="1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</row>
    <row r="130" spans="4:95">
      <c r="D130" s="16">
        <v>508</v>
      </c>
      <c r="E130" s="1">
        <v>9.4050727779999996E-2</v>
      </c>
      <c r="F130" s="1">
        <v>7.4506588279999994E-2</v>
      </c>
      <c r="G130" s="1">
        <v>0.14711375530000001</v>
      </c>
      <c r="H130" s="1">
        <v>0.12870319190000001</v>
      </c>
      <c r="I130" s="1">
        <v>0.1274666488</v>
      </c>
      <c r="J130" s="1">
        <v>0.19744899869999999</v>
      </c>
      <c r="K130" s="1">
        <v>8.8182561100000001E-2</v>
      </c>
      <c r="L130" s="1">
        <v>9.2319950459999994E-2</v>
      </c>
      <c r="M130" s="1"/>
      <c r="N130" s="1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</row>
    <row r="131" spans="4:95">
      <c r="D131" s="16">
        <v>509</v>
      </c>
      <c r="E131" s="1">
        <v>9.5546312630000005E-2</v>
      </c>
      <c r="F131" s="1">
        <v>7.4509106579999998E-2</v>
      </c>
      <c r="G131" s="1">
        <v>0.1483270377</v>
      </c>
      <c r="H131" s="1">
        <v>0.1296691298</v>
      </c>
      <c r="I131" s="1">
        <v>0.12747667730000001</v>
      </c>
      <c r="J131" s="1">
        <v>0.1967155039</v>
      </c>
      <c r="K131" s="1">
        <v>8.7593466039999998E-2</v>
      </c>
      <c r="L131" s="1">
        <v>9.2082925139999994E-2</v>
      </c>
      <c r="M131" s="1"/>
      <c r="N131" s="1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  <c r="BI131" s="17"/>
      <c r="BJ131" s="17"/>
      <c r="BK131" s="17"/>
      <c r="BL131" s="17"/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  <c r="BW131" s="17"/>
      <c r="BX131" s="17"/>
      <c r="BY131" s="17"/>
      <c r="BZ131" s="17"/>
      <c r="CA131" s="17"/>
      <c r="CB131" s="17"/>
      <c r="CC131" s="17"/>
      <c r="CD131" s="17"/>
      <c r="CE131" s="17"/>
      <c r="CF131" s="1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</row>
    <row r="132" spans="4:95">
      <c r="D132" s="16">
        <v>510</v>
      </c>
      <c r="E132" s="1">
        <v>9.7159229220000004E-2</v>
      </c>
      <c r="F132" s="1">
        <v>7.4894517660000007E-2</v>
      </c>
      <c r="G132" s="1">
        <v>0.14829728010000001</v>
      </c>
      <c r="H132" s="1">
        <v>0.13062591849999999</v>
      </c>
      <c r="I132" s="1">
        <v>0.12765607239999999</v>
      </c>
      <c r="J132" s="1">
        <v>0.1959846318</v>
      </c>
      <c r="K132" s="1">
        <v>8.7400540710000002E-2</v>
      </c>
      <c r="L132" s="1">
        <v>9.1561608020000004E-2</v>
      </c>
      <c r="M132" s="1"/>
      <c r="N132" s="1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</row>
    <row r="133" spans="4:95">
      <c r="D133" s="16">
        <v>511</v>
      </c>
      <c r="E133" s="1">
        <v>9.8424516619999999E-2</v>
      </c>
      <c r="F133" s="1">
        <v>7.5030490759999999E-2</v>
      </c>
      <c r="G133" s="1">
        <v>0.148410663</v>
      </c>
      <c r="H133" s="1">
        <v>0.1315903068</v>
      </c>
      <c r="I133" s="1">
        <v>0.12763895089999999</v>
      </c>
      <c r="J133" s="1">
        <v>0.19505773479999999</v>
      </c>
      <c r="K133" s="1">
        <v>8.6770743129999994E-2</v>
      </c>
      <c r="L133" s="1">
        <v>9.1126732530000004E-2</v>
      </c>
      <c r="M133" s="1"/>
      <c r="N133" s="1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  <c r="BI133" s="17"/>
      <c r="BJ133" s="17"/>
      <c r="BK133" s="17"/>
      <c r="BL133" s="17"/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  <c r="BW133" s="17"/>
      <c r="BX133" s="17"/>
      <c r="BY133" s="17"/>
      <c r="BZ133" s="17"/>
      <c r="CA133" s="17"/>
      <c r="CB133" s="17"/>
      <c r="CC133" s="17"/>
      <c r="CD133" s="17"/>
      <c r="CE133" s="17"/>
      <c r="CF133" s="1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</row>
    <row r="134" spans="4:95">
      <c r="D134" s="16">
        <v>512</v>
      </c>
      <c r="E134" s="1">
        <v>9.9609680470000003E-2</v>
      </c>
      <c r="F134" s="1">
        <v>7.5209073720000005E-2</v>
      </c>
      <c r="G134" s="1">
        <v>0.14913170040000001</v>
      </c>
      <c r="H134" s="1">
        <v>0.13244514169999999</v>
      </c>
      <c r="I134" s="1">
        <v>0.12761317189999999</v>
      </c>
      <c r="J134" s="1">
        <v>0.1942036748</v>
      </c>
      <c r="K134" s="1">
        <v>8.6289614439999995E-2</v>
      </c>
      <c r="L134" s="1">
        <v>9.0646594760000004E-2</v>
      </c>
      <c r="M134" s="1"/>
      <c r="N134" s="1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</row>
    <row r="135" spans="4:95">
      <c r="D135" s="16">
        <v>513</v>
      </c>
      <c r="E135" s="1">
        <v>0.10156165809999999</v>
      </c>
      <c r="F135" s="1">
        <v>7.5352504850000002E-2</v>
      </c>
      <c r="G135" s="1">
        <v>0.14907214050000001</v>
      </c>
      <c r="H135" s="1">
        <v>0.13359989229999999</v>
      </c>
      <c r="I135" s="1">
        <v>0.12769739329999999</v>
      </c>
      <c r="J135" s="1">
        <v>0.19340917469999999</v>
      </c>
      <c r="K135" s="1">
        <v>8.5851281880000005E-2</v>
      </c>
      <c r="L135" s="1">
        <v>9.0194635090000003E-2</v>
      </c>
      <c r="M135" s="1"/>
      <c r="N135" s="1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</row>
    <row r="136" spans="4:95">
      <c r="D136" s="16">
        <v>514</v>
      </c>
      <c r="E136" s="1">
        <v>0.1029263586</v>
      </c>
      <c r="F136" s="1">
        <v>7.5533896680000004E-2</v>
      </c>
      <c r="G136" s="1">
        <v>0.14952284099999999</v>
      </c>
      <c r="H136" s="1">
        <v>0.13457952440000001</v>
      </c>
      <c r="I136" s="1">
        <v>0.12776361410000001</v>
      </c>
      <c r="J136" s="1">
        <v>0.19274564089999999</v>
      </c>
      <c r="K136" s="1">
        <v>8.5389718409999996E-2</v>
      </c>
      <c r="L136" s="1">
        <v>8.9591383930000004E-2</v>
      </c>
      <c r="M136" s="1"/>
      <c r="N136" s="1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</row>
    <row r="137" spans="4:95">
      <c r="D137" s="16">
        <v>515</v>
      </c>
      <c r="E137" s="1">
        <v>0.1047163829</v>
      </c>
      <c r="F137" s="1">
        <v>7.5698539610000004E-2</v>
      </c>
      <c r="G137" s="1">
        <v>0.14973780510000001</v>
      </c>
      <c r="H137" s="1">
        <v>0.13561433549999999</v>
      </c>
      <c r="I137" s="1">
        <v>0.12792576850000001</v>
      </c>
      <c r="J137" s="1">
        <v>0.19206012789999999</v>
      </c>
      <c r="K137" s="1">
        <v>8.4855914120000001E-2</v>
      </c>
      <c r="L137" s="1">
        <v>8.9089065790000005E-2</v>
      </c>
      <c r="M137" s="1"/>
      <c r="N137" s="1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  <c r="BI137" s="17"/>
      <c r="BJ137" s="17"/>
      <c r="BK137" s="17"/>
      <c r="BL137" s="17"/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  <c r="BW137" s="17"/>
      <c r="BX137" s="17"/>
      <c r="BY137" s="17"/>
      <c r="BZ137" s="17"/>
      <c r="CA137" s="17"/>
      <c r="CB137" s="17"/>
      <c r="CC137" s="17"/>
      <c r="CD137" s="17"/>
      <c r="CE137" s="17"/>
      <c r="CF137" s="1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</row>
    <row r="138" spans="4:95">
      <c r="D138" s="16">
        <v>516</v>
      </c>
      <c r="E138" s="1">
        <v>0.1061108112</v>
      </c>
      <c r="F138" s="1">
        <v>7.6135687529999996E-2</v>
      </c>
      <c r="G138" s="1">
        <v>0.15081852670000001</v>
      </c>
      <c r="H138" s="1">
        <v>0.13663153350000001</v>
      </c>
      <c r="I138" s="1">
        <v>0.12798774239999999</v>
      </c>
      <c r="J138" s="1">
        <v>0.1911814362</v>
      </c>
      <c r="K138" s="1">
        <v>8.4391832350000001E-2</v>
      </c>
      <c r="L138" s="1">
        <v>8.8677577669999993E-2</v>
      </c>
      <c r="M138" s="1"/>
      <c r="N138" s="1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</row>
    <row r="139" spans="4:95">
      <c r="D139" s="16">
        <v>517</v>
      </c>
      <c r="E139" s="1">
        <v>0.1079928726</v>
      </c>
      <c r="F139" s="1">
        <v>7.6379314059999995E-2</v>
      </c>
      <c r="G139" s="1">
        <v>0.15182851250000001</v>
      </c>
      <c r="H139" s="1">
        <v>0.1378327161</v>
      </c>
      <c r="I139" s="1">
        <v>0.12820440529999999</v>
      </c>
      <c r="J139" s="1">
        <v>0.19051696360000001</v>
      </c>
      <c r="K139" s="1">
        <v>8.4025323390000003E-2</v>
      </c>
      <c r="L139" s="1">
        <v>8.8463984430000003E-2</v>
      </c>
      <c r="M139" s="1"/>
      <c r="N139" s="1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  <c r="BI139" s="17"/>
      <c r="BJ139" s="17"/>
      <c r="BK139" s="17"/>
      <c r="BL139" s="17"/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  <c r="CC139" s="17"/>
      <c r="CD139" s="17"/>
      <c r="CE139" s="17"/>
      <c r="CF139" s="1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</row>
    <row r="140" spans="4:95">
      <c r="D140" s="16">
        <v>518</v>
      </c>
      <c r="E140" s="1">
        <v>0.1095216796</v>
      </c>
      <c r="F140" s="1">
        <v>7.6432406899999999E-2</v>
      </c>
      <c r="G140" s="1">
        <v>0.1530756801</v>
      </c>
      <c r="H140" s="1">
        <v>0.1388646811</v>
      </c>
      <c r="I140" s="1">
        <v>0.12829977270000001</v>
      </c>
      <c r="J140" s="1">
        <v>0.18989622589999999</v>
      </c>
      <c r="K140" s="1">
        <v>8.3676576609999997E-2</v>
      </c>
      <c r="L140" s="1">
        <v>8.8320188219999998E-2</v>
      </c>
      <c r="M140" s="1"/>
      <c r="N140" s="1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  <c r="BI140" s="17"/>
      <c r="BJ140" s="17"/>
      <c r="BK140" s="17"/>
      <c r="BL140" s="17"/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  <c r="BW140" s="17"/>
      <c r="BX140" s="17"/>
      <c r="BY140" s="17"/>
      <c r="BZ140" s="17"/>
      <c r="CA140" s="17"/>
      <c r="CB140" s="17"/>
      <c r="CC140" s="17"/>
      <c r="CD140" s="17"/>
      <c r="CE140" s="17"/>
      <c r="CF140" s="1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</row>
    <row r="141" spans="4:95">
      <c r="D141" s="16">
        <v>519</v>
      </c>
      <c r="E141" s="1">
        <v>0.1109282747</v>
      </c>
      <c r="F141" s="1">
        <v>7.6335705820000002E-2</v>
      </c>
      <c r="G141" s="1">
        <v>0.15276704729999999</v>
      </c>
      <c r="H141" s="1">
        <v>0.1400134861</v>
      </c>
      <c r="I141" s="1">
        <v>0.12867745759999999</v>
      </c>
      <c r="J141" s="1">
        <v>0.18907599150000001</v>
      </c>
      <c r="K141" s="1">
        <v>8.3164244890000003E-2</v>
      </c>
      <c r="L141" s="1">
        <v>8.762938529E-2</v>
      </c>
      <c r="M141" s="1"/>
      <c r="N141" s="1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  <c r="BI141" s="17"/>
      <c r="BJ141" s="17"/>
      <c r="BK141" s="17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7"/>
      <c r="CF141" s="1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</row>
    <row r="142" spans="4:95">
      <c r="D142" s="16">
        <v>520</v>
      </c>
      <c r="E142" s="1">
        <v>0.1124241352</v>
      </c>
      <c r="F142" s="1">
        <v>7.7350191770000007E-2</v>
      </c>
      <c r="G142" s="1">
        <v>0.15193520490000001</v>
      </c>
      <c r="H142" s="1">
        <v>0.1412312537</v>
      </c>
      <c r="I142" s="1">
        <v>0.1287843883</v>
      </c>
      <c r="J142" s="1">
        <v>0.1882756203</v>
      </c>
      <c r="K142" s="1">
        <v>8.2650855179999996E-2</v>
      </c>
      <c r="L142" s="1">
        <v>8.689066023E-2</v>
      </c>
      <c r="M142" s="1"/>
      <c r="N142" s="1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</row>
    <row r="143" spans="4:95">
      <c r="D143" s="16">
        <v>521</v>
      </c>
      <c r="E143" s="1">
        <v>0.11430333550000001</v>
      </c>
      <c r="F143" s="1">
        <v>7.7327363189999998E-2</v>
      </c>
      <c r="G143" s="1">
        <v>0.1530288756</v>
      </c>
      <c r="H143" s="1">
        <v>0.14240080120000001</v>
      </c>
      <c r="I143" s="1">
        <v>0.1289297193</v>
      </c>
      <c r="J143" s="1">
        <v>0.18736085299999999</v>
      </c>
      <c r="K143" s="1">
        <v>8.2160033290000004E-2</v>
      </c>
      <c r="L143" s="1">
        <v>8.619312942E-2</v>
      </c>
      <c r="M143" s="1"/>
      <c r="N143" s="1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  <c r="BI143" s="17"/>
      <c r="BJ143" s="17"/>
      <c r="BK143" s="17"/>
      <c r="BL143" s="17"/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  <c r="BW143" s="17"/>
      <c r="BX143" s="17"/>
      <c r="BY143" s="17"/>
      <c r="BZ143" s="17"/>
      <c r="CA143" s="17"/>
      <c r="CB143" s="17"/>
      <c r="CC143" s="17"/>
      <c r="CD143" s="17"/>
      <c r="CE143" s="17"/>
      <c r="CF143" s="1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</row>
    <row r="144" spans="4:95">
      <c r="D144" s="16">
        <v>522</v>
      </c>
      <c r="E144" s="1">
        <v>0.1160614267</v>
      </c>
      <c r="F144" s="1">
        <v>7.7721290289999995E-2</v>
      </c>
      <c r="G144" s="1">
        <v>0.1537940502</v>
      </c>
      <c r="H144" s="1">
        <v>0.14362217490000001</v>
      </c>
      <c r="I144" s="1">
        <v>0.12941721079999999</v>
      </c>
      <c r="J144" s="1">
        <v>0.18713684380000001</v>
      </c>
      <c r="K144" s="1">
        <v>8.1859096879999996E-2</v>
      </c>
      <c r="L144" s="1">
        <v>8.5883863269999999E-2</v>
      </c>
      <c r="M144" s="1"/>
      <c r="N144" s="1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  <c r="BI144" s="17"/>
      <c r="BJ144" s="17"/>
      <c r="BK144" s="17"/>
      <c r="BL144" s="17"/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  <c r="BW144" s="17"/>
      <c r="BX144" s="17"/>
      <c r="BY144" s="17"/>
      <c r="BZ144" s="17"/>
      <c r="CA144" s="17"/>
      <c r="CB144" s="17"/>
      <c r="CC144" s="17"/>
      <c r="CD144" s="17"/>
      <c r="CE144" s="17"/>
      <c r="CF144" s="1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</row>
    <row r="145" spans="4:95">
      <c r="D145" s="16">
        <v>523</v>
      </c>
      <c r="E145" s="1">
        <v>0.1177360564</v>
      </c>
      <c r="F145" s="1">
        <v>7.7827371660000005E-2</v>
      </c>
      <c r="G145" s="1">
        <v>0.15453305840000001</v>
      </c>
      <c r="H145" s="1">
        <v>0.14467839900000001</v>
      </c>
      <c r="I145" s="1">
        <v>0.1296769083</v>
      </c>
      <c r="J145" s="1">
        <v>0.18633900580000001</v>
      </c>
      <c r="K145" s="1">
        <v>8.1311471760000004E-2</v>
      </c>
      <c r="L145" s="1">
        <v>8.5462801160000004E-2</v>
      </c>
      <c r="M145" s="1"/>
      <c r="N145" s="1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  <c r="BI145" s="17"/>
      <c r="BJ145" s="17"/>
      <c r="BK145" s="17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</row>
    <row r="146" spans="4:95">
      <c r="D146" s="16">
        <v>524</v>
      </c>
      <c r="E146" s="1">
        <v>0.1194904745</v>
      </c>
      <c r="F146" s="1">
        <v>7.8188650309999996E-2</v>
      </c>
      <c r="G146" s="1">
        <v>0.15558330710000001</v>
      </c>
      <c r="H146" s="1">
        <v>0.1460206211</v>
      </c>
      <c r="I146" s="1">
        <v>0.12990552189999999</v>
      </c>
      <c r="J146" s="1">
        <v>0.18558044730000001</v>
      </c>
      <c r="K146" s="1">
        <v>8.0893598499999997E-2</v>
      </c>
      <c r="L146" s="1">
        <v>8.4973953660000004E-2</v>
      </c>
      <c r="M146" s="1"/>
      <c r="N146" s="1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7"/>
      <c r="CD146" s="17"/>
      <c r="CE146" s="17"/>
      <c r="CF146" s="1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</row>
    <row r="147" spans="4:95">
      <c r="D147" s="16">
        <v>525</v>
      </c>
      <c r="E147" s="1">
        <v>0.1213207021</v>
      </c>
      <c r="F147" s="1">
        <v>7.8618288039999998E-2</v>
      </c>
      <c r="G147" s="1">
        <v>0.15681526060000001</v>
      </c>
      <c r="H147" s="1">
        <v>0.14735409620000001</v>
      </c>
      <c r="I147" s="1">
        <v>0.1304162294</v>
      </c>
      <c r="J147" s="1">
        <v>0.185215354</v>
      </c>
      <c r="K147" s="1">
        <v>8.0646991730000006E-2</v>
      </c>
      <c r="L147" s="1">
        <v>8.5092738269999996E-2</v>
      </c>
      <c r="M147" s="1"/>
      <c r="N147" s="1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</row>
    <row r="148" spans="4:95">
      <c r="D148" s="16">
        <v>526</v>
      </c>
      <c r="E148" s="1">
        <v>0.12268433719999999</v>
      </c>
      <c r="F148" s="1">
        <v>7.8465901320000003E-2</v>
      </c>
      <c r="G148" s="1">
        <v>0.15807874499999999</v>
      </c>
      <c r="H148" s="1">
        <v>0.14856068789999999</v>
      </c>
      <c r="I148" s="1">
        <v>0.13064520060000001</v>
      </c>
      <c r="J148" s="1">
        <v>0.184369266</v>
      </c>
      <c r="K148" s="1">
        <v>8.0182053150000002E-2</v>
      </c>
      <c r="L148" s="1">
        <v>8.4526970980000005E-2</v>
      </c>
      <c r="M148" s="1"/>
      <c r="N148" s="1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  <c r="BI148" s="17"/>
      <c r="BJ148" s="17"/>
      <c r="BK148" s="17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  <c r="CC148" s="17"/>
      <c r="CD148" s="17"/>
      <c r="CE148" s="17"/>
      <c r="CF148" s="1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</row>
    <row r="149" spans="4:95">
      <c r="D149" s="16">
        <v>527</v>
      </c>
      <c r="E149" s="1">
        <v>0.12409377839999999</v>
      </c>
      <c r="F149" s="1">
        <v>7.9218722879999995E-2</v>
      </c>
      <c r="G149" s="1">
        <v>0.1571118832</v>
      </c>
      <c r="H149" s="1">
        <v>0.1495920271</v>
      </c>
      <c r="I149" s="1">
        <v>0.1309511662</v>
      </c>
      <c r="J149" s="1">
        <v>0.1836543232</v>
      </c>
      <c r="K149" s="1">
        <v>7.949998975E-2</v>
      </c>
      <c r="L149" s="1">
        <v>8.3969160910000007E-2</v>
      </c>
      <c r="M149" s="1"/>
      <c r="N149" s="1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  <c r="BI149" s="17"/>
      <c r="BJ149" s="17"/>
      <c r="BK149" s="17"/>
      <c r="BL149" s="17"/>
      <c r="BM149" s="17"/>
      <c r="BN149" s="17"/>
      <c r="BO149" s="17"/>
      <c r="BP149" s="17"/>
      <c r="BQ149" s="17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  <c r="CC149" s="17"/>
      <c r="CD149" s="17"/>
      <c r="CE149" s="17"/>
      <c r="CF149" s="1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</row>
    <row r="150" spans="4:95">
      <c r="D150" s="16">
        <v>528</v>
      </c>
      <c r="E150" s="1">
        <v>0.12626023589999999</v>
      </c>
      <c r="F150" s="1">
        <v>7.9542391000000004E-2</v>
      </c>
      <c r="G150" s="1">
        <v>0.16018228230000001</v>
      </c>
      <c r="H150" s="1">
        <v>0.15103317799999999</v>
      </c>
      <c r="I150" s="1">
        <v>0.1313106865</v>
      </c>
      <c r="J150" s="1">
        <v>0.18336725230000001</v>
      </c>
      <c r="K150" s="1">
        <v>7.9133518040000003E-2</v>
      </c>
      <c r="L150" s="1">
        <v>8.3818748590000006E-2</v>
      </c>
      <c r="M150" s="1"/>
      <c r="N150" s="1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17"/>
      <c r="CF150" s="1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</row>
    <row r="151" spans="4:95">
      <c r="D151" s="16">
        <v>529</v>
      </c>
      <c r="E151" s="1">
        <v>0.12806448340000001</v>
      </c>
      <c r="F151" s="1">
        <v>7.8464105729999997E-2</v>
      </c>
      <c r="G151" s="1">
        <v>0.16150873900000001</v>
      </c>
      <c r="H151" s="1">
        <v>0.15248835090000001</v>
      </c>
      <c r="I151" s="1">
        <v>0.1316886246</v>
      </c>
      <c r="J151" s="1">
        <v>0.1823950261</v>
      </c>
      <c r="K151" s="1">
        <v>7.8764088450000005E-2</v>
      </c>
      <c r="L151" s="1">
        <v>8.3318039770000005E-2</v>
      </c>
      <c r="M151" s="1"/>
      <c r="N151" s="1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17"/>
      <c r="CF151" s="1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</row>
    <row r="152" spans="4:95">
      <c r="D152" s="16">
        <v>530</v>
      </c>
      <c r="E152" s="1">
        <v>0.12923096119999999</v>
      </c>
      <c r="F152" s="1">
        <v>8.0449365080000002E-2</v>
      </c>
      <c r="G152" s="1">
        <v>0.15659093860000001</v>
      </c>
      <c r="H152" s="1">
        <v>0.1542213261</v>
      </c>
      <c r="I152" s="1">
        <v>0.1319613308</v>
      </c>
      <c r="J152" s="1">
        <v>0.1817711592</v>
      </c>
      <c r="K152" s="1">
        <v>7.8304111960000006E-2</v>
      </c>
      <c r="L152" s="1">
        <v>8.2526654010000006E-2</v>
      </c>
      <c r="M152" s="1"/>
      <c r="N152" s="1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17"/>
      <c r="CF152" s="1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</row>
    <row r="153" spans="4:95">
      <c r="D153" s="16">
        <v>531</v>
      </c>
      <c r="E153" s="1">
        <v>0.1309823692</v>
      </c>
      <c r="F153" s="1">
        <v>8.099864423E-2</v>
      </c>
      <c r="G153" s="1">
        <v>0.15731683369999999</v>
      </c>
      <c r="H153" s="1">
        <v>0.15563526750000001</v>
      </c>
      <c r="I153" s="1">
        <v>0.13243737820000001</v>
      </c>
      <c r="J153" s="1">
        <v>0.18126483260000001</v>
      </c>
      <c r="K153" s="1">
        <v>7.789041847E-2</v>
      </c>
      <c r="L153" s="1">
        <v>8.227595687E-2</v>
      </c>
      <c r="M153" s="1"/>
      <c r="N153" s="1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17"/>
      <c r="CF153" s="1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</row>
    <row r="154" spans="4:95">
      <c r="D154" s="16">
        <v>532</v>
      </c>
      <c r="E154" s="1">
        <v>0.13271459939999999</v>
      </c>
      <c r="F154" s="1">
        <v>8.100114018E-2</v>
      </c>
      <c r="G154" s="1">
        <v>0.15984866019999999</v>
      </c>
      <c r="H154" s="1">
        <v>0.15685091910000001</v>
      </c>
      <c r="I154" s="1">
        <v>0.1324005425</v>
      </c>
      <c r="J154" s="1">
        <v>0.180529207</v>
      </c>
      <c r="K154" s="1">
        <v>7.7582031489999995E-2</v>
      </c>
      <c r="L154" s="1">
        <v>8.2148835059999994E-2</v>
      </c>
      <c r="M154" s="1"/>
      <c r="N154" s="1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17"/>
      <c r="CF154" s="1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</row>
    <row r="155" spans="4:95">
      <c r="D155" s="16">
        <v>533</v>
      </c>
      <c r="E155" s="1">
        <v>0.13462281230000001</v>
      </c>
      <c r="F155" s="1">
        <v>8.0809153620000004E-2</v>
      </c>
      <c r="G155" s="1">
        <v>0.16299234330000001</v>
      </c>
      <c r="H155" s="1">
        <v>0.15824067589999999</v>
      </c>
      <c r="I155" s="1">
        <v>0.1328635812</v>
      </c>
      <c r="J155" s="1">
        <v>0.18050225080000001</v>
      </c>
      <c r="K155" s="1">
        <v>7.7239960430000004E-2</v>
      </c>
      <c r="L155" s="1">
        <v>8.1897668539999996E-2</v>
      </c>
      <c r="M155" s="1"/>
      <c r="N155" s="1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17"/>
      <c r="CF155" s="1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</row>
    <row r="156" spans="4:95">
      <c r="D156" s="16">
        <v>534</v>
      </c>
      <c r="E156" s="1">
        <v>0.1360768825</v>
      </c>
      <c r="F156" s="1">
        <v>8.053654432E-2</v>
      </c>
      <c r="G156" s="1">
        <v>0.16254682840000001</v>
      </c>
      <c r="H156" s="1">
        <v>0.15960100290000001</v>
      </c>
      <c r="I156" s="1">
        <v>0.13339751959999999</v>
      </c>
      <c r="J156" s="1">
        <v>0.17965663970000001</v>
      </c>
      <c r="K156" s="1">
        <v>7.6728120450000006E-2</v>
      </c>
      <c r="L156" s="1">
        <v>8.1338100139999994E-2</v>
      </c>
      <c r="M156" s="1"/>
      <c r="N156" s="1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17"/>
      <c r="CF156" s="1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</row>
    <row r="157" spans="4:95">
      <c r="D157" s="16">
        <v>535</v>
      </c>
      <c r="E157" s="1">
        <v>0.1376959532</v>
      </c>
      <c r="F157" s="1">
        <v>8.2599192860000004E-2</v>
      </c>
      <c r="G157" s="1">
        <v>0.16068840030000001</v>
      </c>
      <c r="H157" s="1">
        <v>0.16165760160000001</v>
      </c>
      <c r="I157" s="1">
        <v>0.13437542320000001</v>
      </c>
      <c r="J157" s="1">
        <v>0.17960046230000001</v>
      </c>
      <c r="K157" s="1">
        <v>7.6562188569999995E-2</v>
      </c>
      <c r="L157" s="1">
        <v>8.1004105509999993E-2</v>
      </c>
      <c r="M157" s="1"/>
      <c r="N157" s="1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1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</row>
    <row r="158" spans="4:95">
      <c r="D158" s="16">
        <v>536</v>
      </c>
      <c r="E158" s="1">
        <v>0.13909488919999999</v>
      </c>
      <c r="F158" s="1">
        <v>8.2142107189999994E-2</v>
      </c>
      <c r="G158" s="1">
        <v>0.16189382969999999</v>
      </c>
      <c r="H158" s="1">
        <v>0.16266521810000001</v>
      </c>
      <c r="I158" s="1">
        <v>0.13456706700000001</v>
      </c>
      <c r="J158" s="1">
        <v>0.17890280489999999</v>
      </c>
      <c r="K158" s="1">
        <v>7.6163329180000003E-2</v>
      </c>
      <c r="L158" s="1">
        <v>8.0659300089999997E-2</v>
      </c>
      <c r="M158" s="1"/>
      <c r="N158" s="1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17"/>
      <c r="CF158" s="1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</row>
    <row r="159" spans="4:95">
      <c r="D159" s="16">
        <v>537</v>
      </c>
      <c r="E159" s="1">
        <v>0.14057545360000001</v>
      </c>
      <c r="F159" s="1">
        <v>8.1454835830000002E-2</v>
      </c>
      <c r="G159" s="1">
        <v>0.16375517849999999</v>
      </c>
      <c r="H159" s="1">
        <v>0.1638416946</v>
      </c>
      <c r="I159" s="1">
        <v>0.13496519630000001</v>
      </c>
      <c r="J159" s="1">
        <v>0.17783945800000001</v>
      </c>
      <c r="K159" s="1">
        <v>7.5726121660000006E-2</v>
      </c>
      <c r="L159" s="1">
        <v>8.0522023139999996E-2</v>
      </c>
      <c r="M159" s="1"/>
      <c r="N159" s="1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1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</row>
    <row r="160" spans="4:95">
      <c r="D160" s="16">
        <v>538</v>
      </c>
      <c r="E160" s="1">
        <v>0.14190304279999999</v>
      </c>
      <c r="F160" s="1">
        <v>8.2907192409999997E-2</v>
      </c>
      <c r="G160" s="1">
        <v>0.16209091249999999</v>
      </c>
      <c r="H160" s="1">
        <v>0.165686205</v>
      </c>
      <c r="I160" s="1">
        <v>0.13540105520000001</v>
      </c>
      <c r="J160" s="1">
        <v>0.17748667300000001</v>
      </c>
      <c r="K160" s="1">
        <v>7.5316973029999998E-2</v>
      </c>
      <c r="L160" s="1">
        <v>8.0128349360000004E-2</v>
      </c>
      <c r="M160" s="1"/>
      <c r="N160" s="1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17"/>
      <c r="CF160" s="1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</row>
    <row r="161" spans="4:95">
      <c r="D161" s="16">
        <v>539</v>
      </c>
      <c r="E161" s="1">
        <v>0.14355689290000001</v>
      </c>
      <c r="F161" s="1">
        <v>8.2985460760000004E-2</v>
      </c>
      <c r="G161" s="1">
        <v>0.16345535219999999</v>
      </c>
      <c r="H161" s="1">
        <v>0.16708429159999999</v>
      </c>
      <c r="I161" s="1">
        <v>0.1357565224</v>
      </c>
      <c r="J161" s="1">
        <v>0.1769259423</v>
      </c>
      <c r="K161" s="1">
        <v>7.5002342459999996E-2</v>
      </c>
      <c r="L161" s="1">
        <v>7.9269424079999998E-2</v>
      </c>
      <c r="M161" s="1"/>
      <c r="N161" s="1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</row>
    <row r="162" spans="4:95">
      <c r="D162" s="16">
        <v>540</v>
      </c>
      <c r="E162" s="1">
        <v>0.14519982040000001</v>
      </c>
      <c r="F162" s="1">
        <v>8.3028428259999995E-2</v>
      </c>
      <c r="G162" s="1">
        <v>0.16572757069999999</v>
      </c>
      <c r="H162" s="1">
        <v>0.1684290916</v>
      </c>
      <c r="I162" s="1">
        <v>0.13653478029999999</v>
      </c>
      <c r="J162" s="1">
        <v>0.1760629863</v>
      </c>
      <c r="K162" s="1">
        <v>7.4569068850000003E-2</v>
      </c>
      <c r="L162" s="1">
        <v>7.9502321779999996E-2</v>
      </c>
      <c r="M162" s="1"/>
      <c r="N162" s="1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7"/>
      <c r="CF162" s="1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</row>
    <row r="163" spans="4:95">
      <c r="D163" s="16">
        <v>541</v>
      </c>
      <c r="E163" s="1">
        <v>0.14712919290000001</v>
      </c>
      <c r="F163" s="1">
        <v>8.2873858509999995E-2</v>
      </c>
      <c r="G163" s="1">
        <v>0.1686737388</v>
      </c>
      <c r="H163" s="1">
        <v>0.1701029688</v>
      </c>
      <c r="I163" s="1">
        <v>0.1373073906</v>
      </c>
      <c r="J163" s="1">
        <v>0.17590001229999999</v>
      </c>
      <c r="K163" s="1">
        <v>7.4343651529999999E-2</v>
      </c>
      <c r="L163" s="1">
        <v>7.9179488120000002E-2</v>
      </c>
      <c r="M163" s="1"/>
      <c r="N163" s="1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17"/>
      <c r="CF163" s="1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</row>
    <row r="164" spans="4:95">
      <c r="D164" s="16">
        <v>542</v>
      </c>
      <c r="E164" s="1">
        <v>0.14814047520000001</v>
      </c>
      <c r="F164" s="1">
        <v>8.2799740139999994E-2</v>
      </c>
      <c r="G164" s="1">
        <v>0.16775634880000001</v>
      </c>
      <c r="H164" s="1">
        <v>0.1715995967</v>
      </c>
      <c r="I164" s="1">
        <v>0.1376928389</v>
      </c>
      <c r="J164" s="1">
        <v>0.1756100655</v>
      </c>
      <c r="K164" s="1">
        <v>7.4174731970000005E-2</v>
      </c>
      <c r="L164" s="1">
        <v>7.869079709E-2</v>
      </c>
      <c r="M164" s="1"/>
      <c r="N164" s="1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17"/>
      <c r="CF164" s="1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</row>
    <row r="165" spans="4:95">
      <c r="D165" s="16">
        <v>543</v>
      </c>
      <c r="E165" s="1">
        <v>0.1493803561</v>
      </c>
      <c r="F165" s="1">
        <v>8.4451846780000006E-2</v>
      </c>
      <c r="G165" s="1">
        <v>0.1647707075</v>
      </c>
      <c r="H165" s="1">
        <v>0.17344108220000001</v>
      </c>
      <c r="I165" s="1">
        <v>0.13820473850000001</v>
      </c>
      <c r="J165" s="1">
        <v>0.17523613569999999</v>
      </c>
      <c r="K165" s="1">
        <v>7.3958545919999993E-2</v>
      </c>
      <c r="L165" s="1">
        <v>7.8006237749999999E-2</v>
      </c>
      <c r="M165" s="1"/>
      <c r="N165" s="1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17"/>
      <c r="CF165" s="1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</row>
    <row r="166" spans="4:95">
      <c r="D166" s="16">
        <v>544</v>
      </c>
      <c r="E166" s="1">
        <v>0.15108643469999999</v>
      </c>
      <c r="F166" s="1">
        <v>8.4045611320000005E-2</v>
      </c>
      <c r="G166" s="1">
        <v>0.16521029170000001</v>
      </c>
      <c r="H166" s="1">
        <v>0.17487132550000001</v>
      </c>
      <c r="I166" s="1">
        <v>0.1389392018</v>
      </c>
      <c r="J166" s="1">
        <v>0.1746774167</v>
      </c>
      <c r="K166" s="1">
        <v>7.3655508460000005E-2</v>
      </c>
      <c r="L166" s="1">
        <v>7.7623784540000004E-2</v>
      </c>
      <c r="M166" s="1"/>
      <c r="N166" s="1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17"/>
      <c r="CF166" s="1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</row>
    <row r="167" spans="4:95">
      <c r="D167" s="16">
        <v>545</v>
      </c>
      <c r="E167" s="1">
        <v>0.15231421589999999</v>
      </c>
      <c r="F167" s="1">
        <v>8.4712840619999993E-2</v>
      </c>
      <c r="G167" s="1">
        <v>0.1655192077</v>
      </c>
      <c r="H167" s="1">
        <v>0.17617407439999999</v>
      </c>
      <c r="I167" s="1">
        <v>0.13918119670000001</v>
      </c>
      <c r="J167" s="1">
        <v>0.17429837579999999</v>
      </c>
      <c r="K167" s="1">
        <v>7.3102690279999993E-2</v>
      </c>
      <c r="L167" s="1">
        <v>7.7398724850000003E-2</v>
      </c>
      <c r="M167" s="1"/>
      <c r="N167" s="1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17"/>
      <c r="CF167" s="1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</row>
    <row r="168" spans="4:95">
      <c r="D168" s="16">
        <v>546</v>
      </c>
      <c r="E168" s="1">
        <v>0.1538905203</v>
      </c>
      <c r="F168" s="1">
        <v>8.4557130930000002E-2</v>
      </c>
      <c r="G168" s="1">
        <v>0.16766786580000001</v>
      </c>
      <c r="H168" s="1">
        <v>0.17796820399999999</v>
      </c>
      <c r="I168" s="1">
        <v>0.13967201109999999</v>
      </c>
      <c r="J168" s="1">
        <v>0.1736429632</v>
      </c>
      <c r="K168" s="1">
        <v>7.2797462339999994E-2</v>
      </c>
      <c r="L168" s="1">
        <v>7.7521897849999993E-2</v>
      </c>
      <c r="M168" s="1"/>
      <c r="N168" s="1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</row>
    <row r="169" spans="4:95">
      <c r="D169" s="16">
        <v>547</v>
      </c>
      <c r="E169" s="1">
        <v>0.1551940292</v>
      </c>
      <c r="F169" s="1">
        <v>8.4501028059999997E-2</v>
      </c>
      <c r="G169" s="1">
        <v>0.16868285829999999</v>
      </c>
      <c r="H169" s="1">
        <v>0.17950268089999999</v>
      </c>
      <c r="I169" s="1">
        <v>0.1403642893</v>
      </c>
      <c r="J169" s="1">
        <v>0.17368103560000001</v>
      </c>
      <c r="K169" s="1">
        <v>7.2496697309999997E-2</v>
      </c>
      <c r="L169" s="1">
        <v>7.7031947670000003E-2</v>
      </c>
      <c r="M169" s="1"/>
      <c r="N169" s="1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  <c r="BI169" s="17"/>
      <c r="BJ169" s="17"/>
      <c r="BK169" s="17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7"/>
      <c r="CF169" s="1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</row>
    <row r="170" spans="4:95">
      <c r="D170" s="16">
        <v>548</v>
      </c>
      <c r="E170" s="1">
        <v>0.15613369639999999</v>
      </c>
      <c r="F170" s="1">
        <v>8.4810286760000006E-2</v>
      </c>
      <c r="G170" s="1">
        <v>0.16786213220000001</v>
      </c>
      <c r="H170" s="1">
        <v>0.18110725280000001</v>
      </c>
      <c r="I170" s="1">
        <v>0.14091649649999999</v>
      </c>
      <c r="J170" s="1">
        <v>0.17308096589999999</v>
      </c>
      <c r="K170" s="1">
        <v>7.2125114500000004E-2</v>
      </c>
      <c r="L170" s="1">
        <v>7.6550580559999998E-2</v>
      </c>
      <c r="M170" s="1"/>
      <c r="N170" s="1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  <c r="BI170" s="17"/>
      <c r="BJ170" s="17"/>
      <c r="BK170" s="17"/>
      <c r="BL170" s="17"/>
      <c r="BM170" s="17"/>
      <c r="BN170" s="17"/>
      <c r="BO170" s="17"/>
      <c r="BP170" s="17"/>
      <c r="BQ170" s="17"/>
      <c r="BR170" s="17"/>
      <c r="BS170" s="17"/>
      <c r="BT170" s="17"/>
      <c r="BU170" s="17"/>
      <c r="BV170" s="17"/>
      <c r="BW170" s="17"/>
      <c r="BX170" s="17"/>
      <c r="BY170" s="17"/>
      <c r="BZ170" s="17"/>
      <c r="CA170" s="17"/>
      <c r="CB170" s="17"/>
      <c r="CC170" s="17"/>
      <c r="CD170" s="17"/>
      <c r="CE170" s="17"/>
      <c r="CF170" s="1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</row>
    <row r="171" spans="4:95">
      <c r="D171" s="16">
        <v>549</v>
      </c>
      <c r="E171" s="1">
        <v>0.15794543920000001</v>
      </c>
      <c r="F171" s="1">
        <v>8.5734836760000002E-2</v>
      </c>
      <c r="G171" s="1">
        <v>0.16717569530000001</v>
      </c>
      <c r="H171" s="1">
        <v>0.18281212450000001</v>
      </c>
      <c r="I171" s="1">
        <v>0.1418253481</v>
      </c>
      <c r="J171" s="1">
        <v>0.17270030080000001</v>
      </c>
      <c r="K171" s="1">
        <v>7.1472853419999996E-2</v>
      </c>
      <c r="L171" s="1">
        <v>7.589330524E-2</v>
      </c>
      <c r="M171" s="1"/>
      <c r="N171" s="1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  <c r="BI171" s="17"/>
      <c r="BJ171" s="17"/>
      <c r="BK171" s="17"/>
      <c r="BL171" s="17"/>
      <c r="BM171" s="17"/>
      <c r="BN171" s="17"/>
      <c r="BO171" s="17"/>
      <c r="BP171" s="17"/>
      <c r="BQ171" s="17"/>
      <c r="BR171" s="17"/>
      <c r="BS171" s="17"/>
      <c r="BT171" s="17"/>
      <c r="BU171" s="17"/>
      <c r="BV171" s="17"/>
      <c r="BW171" s="17"/>
      <c r="BX171" s="17"/>
      <c r="BY171" s="17"/>
      <c r="BZ171" s="17"/>
      <c r="CA171" s="17"/>
      <c r="CB171" s="17"/>
      <c r="CC171" s="17"/>
      <c r="CD171" s="17"/>
      <c r="CE171" s="17"/>
      <c r="CF171" s="1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</row>
    <row r="172" spans="4:95">
      <c r="D172" s="16">
        <v>550</v>
      </c>
      <c r="E172" s="1">
        <v>0.15949320789999999</v>
      </c>
      <c r="F172" s="1">
        <v>8.5523001850000002E-2</v>
      </c>
      <c r="G172" s="1">
        <v>0.1691211909</v>
      </c>
      <c r="H172" s="1">
        <v>0.18443310260000001</v>
      </c>
      <c r="I172" s="1">
        <v>0.14173264799999999</v>
      </c>
      <c r="J172" s="1">
        <v>0.17206712069999999</v>
      </c>
      <c r="K172" s="1">
        <v>7.1054361760000004E-2</v>
      </c>
      <c r="L172" s="1">
        <v>7.5435981149999998E-2</v>
      </c>
      <c r="M172" s="1"/>
      <c r="N172" s="1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  <c r="BI172" s="17"/>
      <c r="BJ172" s="17"/>
      <c r="BK172" s="17"/>
      <c r="BL172" s="17"/>
      <c r="BM172" s="17"/>
      <c r="BN172" s="17"/>
      <c r="BO172" s="17"/>
      <c r="BP172" s="17"/>
      <c r="BQ172" s="17"/>
      <c r="BR172" s="17"/>
      <c r="BS172" s="17"/>
      <c r="BT172" s="17"/>
      <c r="BU172" s="17"/>
      <c r="BV172" s="17"/>
      <c r="BW172" s="17"/>
      <c r="BX172" s="17"/>
      <c r="BY172" s="17"/>
      <c r="BZ172" s="17"/>
      <c r="CA172" s="17"/>
      <c r="CB172" s="17"/>
      <c r="CC172" s="17"/>
      <c r="CD172" s="17"/>
      <c r="CE172" s="17"/>
      <c r="CF172" s="1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</row>
    <row r="173" spans="4:95">
      <c r="D173" s="16">
        <v>551</v>
      </c>
      <c r="E173" s="1">
        <v>0.16154666240000001</v>
      </c>
      <c r="F173" s="1">
        <v>8.61235261E-2</v>
      </c>
      <c r="G173" s="1">
        <v>0.16964349149999999</v>
      </c>
      <c r="H173" s="1">
        <v>0.1864132285</v>
      </c>
      <c r="I173" s="1">
        <v>0.14250652489999999</v>
      </c>
      <c r="J173" s="1">
        <v>0.172051385</v>
      </c>
      <c r="K173" s="1">
        <v>7.0978671310000005E-2</v>
      </c>
      <c r="L173" s="1">
        <v>7.542782277E-2</v>
      </c>
      <c r="M173" s="1"/>
      <c r="N173" s="1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  <c r="BI173" s="17"/>
      <c r="BJ173" s="17"/>
      <c r="BK173" s="17"/>
      <c r="BL173" s="17"/>
      <c r="BM173" s="17"/>
      <c r="BN173" s="17"/>
      <c r="BO173" s="17"/>
      <c r="BP173" s="17"/>
      <c r="BQ173" s="17"/>
      <c r="BR173" s="17"/>
      <c r="BS173" s="17"/>
      <c r="BT173" s="17"/>
      <c r="BU173" s="17"/>
      <c r="BV173" s="17"/>
      <c r="BW173" s="17"/>
      <c r="BX173" s="17"/>
      <c r="BY173" s="17"/>
      <c r="BZ173" s="17"/>
      <c r="CA173" s="17"/>
      <c r="CB173" s="17"/>
      <c r="CC173" s="17"/>
      <c r="CD173" s="17"/>
      <c r="CE173" s="17"/>
      <c r="CF173" s="1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</row>
    <row r="174" spans="4:95">
      <c r="D174" s="16">
        <v>552</v>
      </c>
      <c r="E174" s="1">
        <v>0.1632847935</v>
      </c>
      <c r="F174" s="1">
        <v>8.6095653470000005E-2</v>
      </c>
      <c r="G174" s="1">
        <v>0.17119263109999999</v>
      </c>
      <c r="H174" s="1">
        <v>0.1882666647</v>
      </c>
      <c r="I174" s="1">
        <v>0.14302831890000001</v>
      </c>
      <c r="J174" s="1">
        <v>0.1715609431</v>
      </c>
      <c r="K174" s="1">
        <v>7.0815563200000001E-2</v>
      </c>
      <c r="L174" s="1">
        <v>7.538148016E-2</v>
      </c>
      <c r="M174" s="1"/>
      <c r="N174" s="1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  <c r="BI174" s="17"/>
      <c r="BJ174" s="17"/>
      <c r="BK174" s="17"/>
      <c r="BL174" s="17"/>
      <c r="BM174" s="17"/>
      <c r="BN174" s="17"/>
      <c r="BO174" s="17"/>
      <c r="BP174" s="17"/>
      <c r="BQ174" s="17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  <c r="CC174" s="17"/>
      <c r="CD174" s="17"/>
      <c r="CE174" s="17"/>
      <c r="CF174" s="1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</row>
    <row r="175" spans="4:95">
      <c r="D175" s="16">
        <v>553</v>
      </c>
      <c r="E175" s="1">
        <v>0.16497541960000001</v>
      </c>
      <c r="F175" s="1">
        <v>8.6240895090000005E-2</v>
      </c>
      <c r="G175" s="1">
        <v>0.17262433469999999</v>
      </c>
      <c r="H175" s="1">
        <v>0.18985290830000001</v>
      </c>
      <c r="I175" s="1">
        <v>0.14424298699999999</v>
      </c>
      <c r="J175" s="1">
        <v>0.17131611699999999</v>
      </c>
      <c r="K175" s="1">
        <v>7.0626229050000003E-2</v>
      </c>
      <c r="L175" s="1">
        <v>7.5256168839999998E-2</v>
      </c>
      <c r="M175" s="1"/>
      <c r="N175" s="1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  <c r="BI175" s="17"/>
      <c r="BJ175" s="17"/>
      <c r="BK175" s="17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1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</row>
    <row r="176" spans="4:95">
      <c r="D176" s="16">
        <v>554</v>
      </c>
      <c r="E176" s="1">
        <v>0.16645160319999999</v>
      </c>
      <c r="F176" s="1">
        <v>8.6600080130000007E-2</v>
      </c>
      <c r="G176" s="1">
        <v>0.17134818430000001</v>
      </c>
      <c r="H176" s="1">
        <v>0.19141820070000001</v>
      </c>
      <c r="I176" s="1">
        <v>0.14467775820000001</v>
      </c>
      <c r="J176" s="1">
        <v>0.17072770000000001</v>
      </c>
      <c r="K176" s="1">
        <v>6.9854393599999995E-2</v>
      </c>
      <c r="L176" s="1">
        <v>7.5045011940000003E-2</v>
      </c>
      <c r="M176" s="1"/>
      <c r="N176" s="1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  <c r="BI176" s="17"/>
      <c r="BJ176" s="17"/>
      <c r="BK176" s="17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7"/>
      <c r="CF176" s="1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</row>
    <row r="177" spans="4:95">
      <c r="D177" s="16">
        <v>555</v>
      </c>
      <c r="E177" s="1">
        <v>0.1683657616</v>
      </c>
      <c r="F177" s="1">
        <v>8.7120756509999994E-2</v>
      </c>
      <c r="G177" s="1">
        <v>0.1719439924</v>
      </c>
      <c r="H177" s="1">
        <v>0.193529442</v>
      </c>
      <c r="I177" s="1">
        <v>0.14530256389999999</v>
      </c>
      <c r="J177" s="1">
        <v>0.1705895513</v>
      </c>
      <c r="K177" s="1">
        <v>6.9597199560000003E-2</v>
      </c>
      <c r="L177" s="1">
        <v>7.4266307059999995E-2</v>
      </c>
      <c r="M177" s="1"/>
      <c r="N177" s="1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  <c r="BI177" s="17"/>
      <c r="BJ177" s="17"/>
      <c r="BK177" s="17"/>
      <c r="BL177" s="17"/>
      <c r="BM177" s="17"/>
      <c r="BN177" s="17"/>
      <c r="BO177" s="17"/>
      <c r="BP177" s="17"/>
      <c r="BQ177" s="17"/>
      <c r="BR177" s="17"/>
      <c r="BS177" s="17"/>
      <c r="BT177" s="17"/>
      <c r="BU177" s="17"/>
      <c r="BV177" s="17"/>
      <c r="BW177" s="17"/>
      <c r="BX177" s="17"/>
      <c r="BY177" s="17"/>
      <c r="BZ177" s="17"/>
      <c r="CA177" s="17"/>
      <c r="CB177" s="17"/>
      <c r="CC177" s="17"/>
      <c r="CD177" s="17"/>
      <c r="CE177" s="17"/>
      <c r="CF177" s="1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</row>
    <row r="178" spans="4:95">
      <c r="D178" s="16">
        <v>556</v>
      </c>
      <c r="E178" s="1">
        <v>0.17021439969999999</v>
      </c>
      <c r="F178" s="1">
        <v>8.7417572740000005E-2</v>
      </c>
      <c r="G178" s="1">
        <v>0.17289491000000001</v>
      </c>
      <c r="H178" s="1">
        <v>0.19554832580000001</v>
      </c>
      <c r="I178" s="1">
        <v>0.1458996981</v>
      </c>
      <c r="J178" s="1">
        <v>0.16995686290000001</v>
      </c>
      <c r="K178" s="1">
        <v>6.9179333750000002E-2</v>
      </c>
      <c r="L178" s="1">
        <v>7.3867738249999995E-2</v>
      </c>
      <c r="M178" s="1"/>
      <c r="N178" s="1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  <c r="BI178" s="17"/>
      <c r="BJ178" s="17"/>
      <c r="BK178" s="17"/>
      <c r="BL178" s="17"/>
      <c r="BM178" s="17"/>
      <c r="BN178" s="17"/>
      <c r="BO178" s="17"/>
      <c r="BP178" s="17"/>
      <c r="BQ178" s="17"/>
      <c r="BR178" s="17"/>
      <c r="BS178" s="17"/>
      <c r="BT178" s="17"/>
      <c r="BU178" s="17"/>
      <c r="BV178" s="17"/>
      <c r="BW178" s="17"/>
      <c r="BX178" s="17"/>
      <c r="BY178" s="17"/>
      <c r="BZ178" s="17"/>
      <c r="CA178" s="17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</row>
    <row r="179" spans="4:95">
      <c r="D179" s="16">
        <v>557</v>
      </c>
      <c r="E179" s="1">
        <v>0.1724506468</v>
      </c>
      <c r="F179" s="1">
        <v>8.8078558439999996E-2</v>
      </c>
      <c r="G179" s="1">
        <v>0.17383825780000001</v>
      </c>
      <c r="H179" s="1">
        <v>0.19791409369999999</v>
      </c>
      <c r="I179" s="1">
        <v>0.1470690519</v>
      </c>
      <c r="J179" s="1">
        <v>0.17032194140000001</v>
      </c>
      <c r="K179" s="1">
        <v>6.928738207E-2</v>
      </c>
      <c r="L179" s="1">
        <v>7.4143104259999995E-2</v>
      </c>
      <c r="M179" s="1"/>
      <c r="N179" s="1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  <c r="BI179" s="17"/>
      <c r="BJ179" s="17"/>
      <c r="BK179" s="17"/>
      <c r="BL179" s="17"/>
      <c r="BM179" s="17"/>
      <c r="BN179" s="17"/>
      <c r="BO179" s="17"/>
      <c r="BP179" s="17"/>
      <c r="BQ179" s="17"/>
      <c r="BR179" s="17"/>
      <c r="BS179" s="17"/>
      <c r="BT179" s="17"/>
      <c r="BU179" s="17"/>
      <c r="BV179" s="17"/>
      <c r="BW179" s="17"/>
      <c r="BX179" s="17"/>
      <c r="BY179" s="17"/>
      <c r="BZ179" s="17"/>
      <c r="CA179" s="17"/>
      <c r="CB179" s="17"/>
      <c r="CC179" s="17"/>
      <c r="CD179" s="17"/>
      <c r="CE179" s="17"/>
      <c r="CF179" s="1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</row>
    <row r="180" spans="4:95">
      <c r="D180" s="16">
        <v>558</v>
      </c>
      <c r="E180" s="1">
        <v>0.17465798560000001</v>
      </c>
      <c r="F180" s="1">
        <v>8.8336877519999996E-2</v>
      </c>
      <c r="G180" s="1">
        <v>0.1752970666</v>
      </c>
      <c r="H180" s="1">
        <v>0.2000889331</v>
      </c>
      <c r="I180" s="1">
        <v>0.14780345559999999</v>
      </c>
      <c r="J180" s="1">
        <v>0.1698035896</v>
      </c>
      <c r="K180" s="1">
        <v>6.8996474150000001E-2</v>
      </c>
      <c r="L180" s="1">
        <v>7.3690414430000004E-2</v>
      </c>
      <c r="M180" s="1"/>
      <c r="N180" s="1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1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</row>
    <row r="181" spans="4:95">
      <c r="D181" s="16">
        <v>559</v>
      </c>
      <c r="E181" s="1">
        <v>0.17645892499999999</v>
      </c>
      <c r="F181" s="1">
        <v>8.907530457E-2</v>
      </c>
      <c r="G181" s="1">
        <v>0.17561356719999999</v>
      </c>
      <c r="H181" s="1">
        <v>0.20202648640000001</v>
      </c>
      <c r="I181" s="1">
        <v>0.14867648480000001</v>
      </c>
      <c r="J181" s="1">
        <v>0.1694792956</v>
      </c>
      <c r="K181" s="1">
        <v>6.8861745299999999E-2</v>
      </c>
      <c r="L181" s="1">
        <v>7.3737621310000001E-2</v>
      </c>
      <c r="M181" s="1"/>
      <c r="N181" s="1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  <c r="BI181" s="17"/>
      <c r="BJ181" s="17"/>
      <c r="BK181" s="17"/>
      <c r="BL181" s="17"/>
      <c r="BM181" s="17"/>
      <c r="BN181" s="17"/>
      <c r="BO181" s="17"/>
      <c r="BP181" s="17"/>
      <c r="BQ181" s="17"/>
      <c r="BR181" s="17"/>
      <c r="BS181" s="17"/>
      <c r="BT181" s="17"/>
      <c r="BU181" s="17"/>
      <c r="BV181" s="17"/>
      <c r="BW181" s="17"/>
      <c r="BX181" s="17"/>
      <c r="BY181" s="17"/>
      <c r="BZ181" s="17"/>
      <c r="CA181" s="17"/>
      <c r="CB181" s="17"/>
      <c r="CC181" s="17"/>
      <c r="CD181" s="17"/>
      <c r="CE181" s="17"/>
      <c r="CF181" s="1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</row>
    <row r="182" spans="4:95">
      <c r="D182" s="16">
        <v>560</v>
      </c>
      <c r="E182" s="1">
        <v>0.1781984717</v>
      </c>
      <c r="F182" s="1">
        <v>8.9206665749999997E-2</v>
      </c>
      <c r="G182" s="1">
        <v>0.17658562959999999</v>
      </c>
      <c r="H182" s="1">
        <v>0.20389907060000001</v>
      </c>
      <c r="I182" s="1">
        <v>0.14926750959999999</v>
      </c>
      <c r="J182" s="1">
        <v>0.1689473987</v>
      </c>
      <c r="K182" s="1">
        <v>6.829763204E-2</v>
      </c>
      <c r="L182" s="1">
        <v>7.3039039969999997E-2</v>
      </c>
      <c r="M182" s="1"/>
      <c r="N182" s="1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  <c r="BI182" s="17"/>
      <c r="BJ182" s="17"/>
      <c r="BK182" s="17"/>
      <c r="BL182" s="17"/>
      <c r="BM182" s="17"/>
      <c r="BN182" s="17"/>
      <c r="BO182" s="17"/>
      <c r="BP182" s="17"/>
      <c r="BQ182" s="17"/>
      <c r="BR182" s="17"/>
      <c r="BS182" s="17"/>
      <c r="BT182" s="17"/>
      <c r="BU182" s="17"/>
      <c r="BV182" s="17"/>
      <c r="BW182" s="17"/>
      <c r="BX182" s="17"/>
      <c r="BY182" s="17"/>
      <c r="BZ182" s="17"/>
      <c r="CA182" s="17"/>
      <c r="CB182" s="17"/>
      <c r="CC182" s="17"/>
      <c r="CD182" s="17"/>
      <c r="CE182" s="17"/>
      <c r="CF182" s="1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</row>
    <row r="183" spans="4:95">
      <c r="D183" s="16">
        <v>561</v>
      </c>
      <c r="E183" s="1">
        <v>0.18059848249999999</v>
      </c>
      <c r="F183" s="1">
        <v>8.9525654910000002E-2</v>
      </c>
      <c r="G183" s="1">
        <v>0.1777243167</v>
      </c>
      <c r="H183" s="1">
        <v>0.2059851587</v>
      </c>
      <c r="I183" s="1">
        <v>0.1500959694</v>
      </c>
      <c r="J183" s="1">
        <v>0.16921481490000001</v>
      </c>
      <c r="K183" s="1">
        <v>6.8040415640000004E-2</v>
      </c>
      <c r="L183" s="1">
        <v>7.3074296120000007E-2</v>
      </c>
      <c r="M183" s="1"/>
      <c r="N183" s="1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1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</row>
    <row r="184" spans="4:95">
      <c r="D184" s="16">
        <v>562</v>
      </c>
      <c r="E184" s="1">
        <v>0.1827326715</v>
      </c>
      <c r="F184" s="1">
        <v>8.9899413289999994E-2</v>
      </c>
      <c r="G184" s="1">
        <v>0.17857715490000001</v>
      </c>
      <c r="H184" s="1">
        <v>0.20814727250000001</v>
      </c>
      <c r="I184" s="1">
        <v>0.1509378552</v>
      </c>
      <c r="J184" s="1">
        <v>0.16892100870000001</v>
      </c>
      <c r="K184" s="1">
        <v>6.7784018809999999E-2</v>
      </c>
      <c r="L184" s="1">
        <v>7.25993365E-2</v>
      </c>
      <c r="M184" s="1"/>
      <c r="N184" s="1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  <c r="BI184" s="17"/>
      <c r="BJ184" s="17"/>
      <c r="BK184" s="17"/>
      <c r="BL184" s="17"/>
      <c r="BM184" s="17"/>
      <c r="BN184" s="17"/>
      <c r="BO184" s="17"/>
      <c r="BP184" s="17"/>
      <c r="BQ184" s="17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  <c r="CC184" s="17"/>
      <c r="CD184" s="17"/>
      <c r="CE184" s="17"/>
      <c r="CF184" s="1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</row>
    <row r="185" spans="4:95">
      <c r="D185" s="16">
        <v>563</v>
      </c>
      <c r="E185" s="1">
        <v>0.18499980869999999</v>
      </c>
      <c r="F185" s="1">
        <v>9.0568996969999996E-2</v>
      </c>
      <c r="G185" s="1">
        <v>0.179139778</v>
      </c>
      <c r="H185" s="1">
        <v>0.21066679059999999</v>
      </c>
      <c r="I185" s="1">
        <v>0.1517019272</v>
      </c>
      <c r="J185" s="1">
        <v>0.168467015</v>
      </c>
      <c r="K185" s="1">
        <v>6.7645423110000005E-2</v>
      </c>
      <c r="L185" s="1">
        <v>7.2100728749999995E-2</v>
      </c>
      <c r="M185" s="1"/>
      <c r="N185" s="1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7"/>
      <c r="BR185" s="17"/>
      <c r="BS185" s="17"/>
      <c r="BT185" s="17"/>
      <c r="BU185" s="17"/>
      <c r="BV185" s="17"/>
      <c r="BW185" s="17"/>
      <c r="BX185" s="17"/>
      <c r="BY185" s="17"/>
      <c r="BZ185" s="17"/>
      <c r="CA185" s="17"/>
      <c r="CB185" s="17"/>
      <c r="CC185" s="17"/>
      <c r="CD185" s="17"/>
      <c r="CE185" s="17"/>
      <c r="CF185" s="1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</row>
    <row r="186" spans="4:95">
      <c r="D186" s="16">
        <v>564</v>
      </c>
      <c r="E186" s="1">
        <v>0.18713720140000001</v>
      </c>
      <c r="F186" s="1">
        <v>9.1111347080000002E-2</v>
      </c>
      <c r="G186" s="1">
        <v>0.18005871770000001</v>
      </c>
      <c r="H186" s="1">
        <v>0.2127597332</v>
      </c>
      <c r="I186" s="1">
        <v>0.1526617408</v>
      </c>
      <c r="J186" s="1">
        <v>0.16829021280000001</v>
      </c>
      <c r="K186" s="1">
        <v>6.7241638899999998E-2</v>
      </c>
      <c r="L186" s="1">
        <v>7.2025828060000005E-2</v>
      </c>
      <c r="M186" s="1"/>
      <c r="N186" s="1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7"/>
      <c r="BR186" s="17"/>
      <c r="BS186" s="17"/>
      <c r="BT186" s="17"/>
      <c r="BU186" s="17"/>
      <c r="BV186" s="17"/>
      <c r="BW186" s="17"/>
      <c r="BX186" s="17"/>
      <c r="BY186" s="17"/>
      <c r="BZ186" s="17"/>
      <c r="CA186" s="17"/>
      <c r="CB186" s="17"/>
      <c r="CC186" s="17"/>
      <c r="CD186" s="17"/>
      <c r="CE186" s="17"/>
      <c r="CF186" s="1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</row>
    <row r="187" spans="4:95">
      <c r="D187" s="16">
        <v>565</v>
      </c>
      <c r="E187" s="1">
        <v>0.1894405186</v>
      </c>
      <c r="F187" s="1">
        <v>9.1358542439999996E-2</v>
      </c>
      <c r="G187" s="1">
        <v>0.1815253496</v>
      </c>
      <c r="H187" s="1">
        <v>0.214810431</v>
      </c>
      <c r="I187" s="1">
        <v>0.15371380749999999</v>
      </c>
      <c r="J187" s="1">
        <v>0.16815140840000001</v>
      </c>
      <c r="K187" s="1">
        <v>6.7209787670000007E-2</v>
      </c>
      <c r="L187" s="1">
        <v>7.1703769269999995E-2</v>
      </c>
      <c r="M187" s="1"/>
      <c r="N187" s="1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7"/>
      <c r="BR187" s="17"/>
      <c r="BS187" s="17"/>
      <c r="BT187" s="17"/>
      <c r="BU187" s="17"/>
      <c r="BV187" s="17"/>
      <c r="BW187" s="17"/>
      <c r="BX187" s="17"/>
      <c r="BY187" s="17"/>
      <c r="BZ187" s="17"/>
      <c r="CA187" s="17"/>
      <c r="CB187" s="17"/>
      <c r="CC187" s="17"/>
      <c r="CD187" s="17"/>
      <c r="CE187" s="17"/>
      <c r="CF187" s="1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</row>
    <row r="188" spans="4:95">
      <c r="D188" s="16">
        <v>566</v>
      </c>
      <c r="E188" s="1">
        <v>0.1914349347</v>
      </c>
      <c r="F188" s="1">
        <v>9.1857925059999998E-2</v>
      </c>
      <c r="G188" s="1">
        <v>0.18269045649999999</v>
      </c>
      <c r="H188" s="1">
        <v>0.21657545859999999</v>
      </c>
      <c r="I188" s="1">
        <v>0.1544641554</v>
      </c>
      <c r="J188" s="1">
        <v>0.1678973436</v>
      </c>
      <c r="K188" s="1">
        <v>6.6934309900000002E-2</v>
      </c>
      <c r="L188" s="1">
        <v>7.1500405670000003E-2</v>
      </c>
      <c r="M188" s="1"/>
      <c r="N188" s="1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7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  <c r="CC188" s="17"/>
      <c r="CD188" s="17"/>
      <c r="CE188" s="17"/>
      <c r="CF188" s="1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</row>
    <row r="189" spans="4:95">
      <c r="D189" s="16">
        <v>567</v>
      </c>
      <c r="E189" s="1">
        <v>0.1933692545</v>
      </c>
      <c r="F189" s="1">
        <v>9.1948643329999996E-2</v>
      </c>
      <c r="G189" s="1">
        <v>0.18318304420000001</v>
      </c>
      <c r="H189" s="1">
        <v>0.2188095897</v>
      </c>
      <c r="I189" s="1">
        <v>0.15537552539999999</v>
      </c>
      <c r="J189" s="1">
        <v>0.16754913330000001</v>
      </c>
      <c r="K189" s="1">
        <v>6.6338978709999996E-2</v>
      </c>
      <c r="L189" s="1">
        <v>7.1170538660000005E-2</v>
      </c>
      <c r="M189" s="1"/>
      <c r="N189" s="1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7"/>
      <c r="BR189" s="17"/>
      <c r="BS189" s="17"/>
      <c r="BT189" s="17"/>
      <c r="BU189" s="17"/>
      <c r="BV189" s="17"/>
      <c r="BW189" s="17"/>
      <c r="BX189" s="17"/>
      <c r="BY189" s="17"/>
      <c r="BZ189" s="17"/>
      <c r="CA189" s="17"/>
      <c r="CB189" s="17"/>
      <c r="CC189" s="17"/>
      <c r="CD189" s="17"/>
      <c r="CE189" s="17"/>
      <c r="CF189" s="1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</row>
    <row r="190" spans="4:95">
      <c r="D190" s="16">
        <v>568</v>
      </c>
      <c r="E190" s="1">
        <v>0.1955027282</v>
      </c>
      <c r="F190" s="1">
        <v>9.3108676370000004E-2</v>
      </c>
      <c r="G190" s="1">
        <v>0.182915464</v>
      </c>
      <c r="H190" s="1">
        <v>0.2213879973</v>
      </c>
      <c r="I190" s="1">
        <v>0.15639686580000001</v>
      </c>
      <c r="J190" s="1">
        <v>0.16748529670000001</v>
      </c>
      <c r="K190" s="1">
        <v>6.6190771760000003E-2</v>
      </c>
      <c r="L190" s="1">
        <v>7.0748500529999994E-2</v>
      </c>
      <c r="M190" s="1"/>
      <c r="N190" s="1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1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</row>
    <row r="191" spans="4:95">
      <c r="D191" s="16">
        <v>569</v>
      </c>
      <c r="E191" s="1">
        <v>0.1981081069</v>
      </c>
      <c r="F191" s="1">
        <v>9.3529127540000007E-2</v>
      </c>
      <c r="G191" s="1">
        <v>0.18440963329999999</v>
      </c>
      <c r="H191" s="1">
        <v>0.22375220060000001</v>
      </c>
      <c r="I191" s="1">
        <v>0.1576654911</v>
      </c>
      <c r="J191" s="1">
        <v>0.1674993783</v>
      </c>
      <c r="K191" s="1">
        <v>6.6079184410000005E-2</v>
      </c>
      <c r="L191" s="1">
        <v>7.0676580069999995E-2</v>
      </c>
      <c r="M191" s="1"/>
      <c r="N191" s="1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7"/>
      <c r="BR191" s="17"/>
      <c r="BS191" s="17"/>
      <c r="BT191" s="17"/>
      <c r="BU191" s="17"/>
      <c r="BV191" s="17"/>
      <c r="BW191" s="17"/>
      <c r="BX191" s="17"/>
      <c r="BY191" s="17"/>
      <c r="BZ191" s="17"/>
      <c r="CA191" s="17"/>
      <c r="CB191" s="17"/>
      <c r="CC191" s="17"/>
      <c r="CD191" s="17"/>
      <c r="CE191" s="17"/>
      <c r="CF191" s="1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</row>
    <row r="192" spans="4:95">
      <c r="D192" s="16">
        <v>570</v>
      </c>
      <c r="E192" s="1">
        <v>0.19968870280000001</v>
      </c>
      <c r="F192" s="1">
        <v>9.3533046539999998E-2</v>
      </c>
      <c r="G192" s="1">
        <v>0.18573068079999999</v>
      </c>
      <c r="H192" s="1">
        <v>0.22588540609999999</v>
      </c>
      <c r="I192" s="1">
        <v>0.15829634670000001</v>
      </c>
      <c r="J192" s="1">
        <v>0.1669156849</v>
      </c>
      <c r="K192" s="1">
        <v>6.5541759130000002E-2</v>
      </c>
      <c r="L192" s="1">
        <v>7.0342212919999994E-2</v>
      </c>
      <c r="M192" s="1"/>
      <c r="N192" s="1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</row>
    <row r="193" spans="4:95">
      <c r="D193" s="16">
        <v>571</v>
      </c>
      <c r="E193" s="1">
        <v>0.20186910029999999</v>
      </c>
      <c r="F193" s="1">
        <v>9.3998201190000005E-2</v>
      </c>
      <c r="G193" s="1">
        <v>0.18680940569999999</v>
      </c>
      <c r="H193" s="1">
        <v>0.22839397189999999</v>
      </c>
      <c r="I193" s="1">
        <v>0.15902951360000001</v>
      </c>
      <c r="J193" s="1">
        <v>0.16675330699999999</v>
      </c>
      <c r="K193" s="1">
        <v>6.5229281779999995E-2</v>
      </c>
      <c r="L193" s="1">
        <v>6.9823600350000001E-2</v>
      </c>
      <c r="M193" s="1"/>
      <c r="N193" s="1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7"/>
      <c r="BR193" s="17"/>
      <c r="BS193" s="17"/>
      <c r="BT193" s="17"/>
      <c r="BU193" s="17"/>
      <c r="BV193" s="17"/>
      <c r="BW193" s="17"/>
      <c r="BX193" s="17"/>
      <c r="BY193" s="17"/>
      <c r="BZ193" s="17"/>
      <c r="CA193" s="17"/>
      <c r="CB193" s="17"/>
      <c r="CC193" s="17"/>
      <c r="CD193" s="17"/>
      <c r="CE193" s="17"/>
      <c r="CF193" s="1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</row>
    <row r="194" spans="4:95">
      <c r="D194" s="16">
        <v>572</v>
      </c>
      <c r="E194" s="1">
        <v>0.2038409561</v>
      </c>
      <c r="F194" s="1">
        <v>9.4195723529999997E-2</v>
      </c>
      <c r="G194" s="1">
        <v>0.18800774219999999</v>
      </c>
      <c r="H194" s="1">
        <v>0.23028540610000001</v>
      </c>
      <c r="I194" s="1">
        <v>0.15992130339999999</v>
      </c>
      <c r="J194" s="1">
        <v>0.1667869538</v>
      </c>
      <c r="K194" s="1">
        <v>6.5079145130000002E-2</v>
      </c>
      <c r="L194" s="1">
        <v>6.9901429119999997E-2</v>
      </c>
      <c r="M194" s="1"/>
      <c r="N194" s="1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7"/>
      <c r="BR194" s="17"/>
      <c r="BS194" s="17"/>
      <c r="BT194" s="17"/>
      <c r="BU194" s="17"/>
      <c r="BV194" s="17"/>
      <c r="BW194" s="17"/>
      <c r="BX194" s="17"/>
      <c r="BY194" s="17"/>
      <c r="BZ194" s="17"/>
      <c r="CA194" s="17"/>
      <c r="CB194" s="17"/>
      <c r="CC194" s="17"/>
      <c r="CD194" s="17"/>
      <c r="CE194" s="17"/>
      <c r="CF194" s="1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</row>
    <row r="195" spans="4:95">
      <c r="D195" s="16">
        <v>573</v>
      </c>
      <c r="E195" s="1">
        <v>0.2055472136</v>
      </c>
      <c r="F195" s="1">
        <v>9.4306707379999993E-2</v>
      </c>
      <c r="G195" s="1">
        <v>0.18775993590000001</v>
      </c>
      <c r="H195" s="1">
        <v>0.2320801914</v>
      </c>
      <c r="I195" s="1">
        <v>0.1606844217</v>
      </c>
      <c r="J195" s="1">
        <v>0.16649135949999999</v>
      </c>
      <c r="K195" s="1">
        <v>6.4471267159999998E-2</v>
      </c>
      <c r="L195" s="1">
        <v>6.9192387159999993E-2</v>
      </c>
      <c r="M195" s="1"/>
      <c r="N195" s="1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7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  <c r="CC195" s="17"/>
      <c r="CD195" s="17"/>
      <c r="CE195" s="17"/>
      <c r="CF195" s="1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</row>
    <row r="196" spans="4:95">
      <c r="D196" s="16">
        <v>574</v>
      </c>
      <c r="E196" s="1">
        <v>0.20721410209999999</v>
      </c>
      <c r="F196" s="1">
        <v>9.4811722639999998E-2</v>
      </c>
      <c r="G196" s="1">
        <v>0.18751832839999999</v>
      </c>
      <c r="H196" s="1">
        <v>0.23451818529999999</v>
      </c>
      <c r="I196" s="1">
        <v>0.16142486040000001</v>
      </c>
      <c r="J196" s="1">
        <v>0.16597327589999999</v>
      </c>
      <c r="K196" s="1">
        <v>6.4105100930000006E-2</v>
      </c>
      <c r="L196" s="1">
        <v>6.8683385850000001E-2</v>
      </c>
      <c r="M196" s="1"/>
      <c r="N196" s="1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</row>
    <row r="197" spans="4:95">
      <c r="D197" s="16">
        <v>575</v>
      </c>
      <c r="E197" s="1">
        <v>0.2094691545</v>
      </c>
      <c r="F197" s="1">
        <v>9.5187380909999994E-2</v>
      </c>
      <c r="G197" s="1">
        <v>0.18888103959999999</v>
      </c>
      <c r="H197" s="1">
        <v>0.2366907597</v>
      </c>
      <c r="I197" s="1">
        <v>0.1623665094</v>
      </c>
      <c r="J197" s="1">
        <v>0.16595017910000001</v>
      </c>
      <c r="K197" s="1">
        <v>6.4040362830000003E-2</v>
      </c>
      <c r="L197" s="1">
        <v>6.8597525359999995E-2</v>
      </c>
      <c r="M197" s="1"/>
      <c r="N197" s="1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  <c r="BI197" s="17"/>
      <c r="BJ197" s="17"/>
      <c r="BK197" s="17"/>
      <c r="BL197" s="17"/>
      <c r="BM197" s="17"/>
      <c r="BN197" s="17"/>
      <c r="BO197" s="17"/>
      <c r="BP197" s="17"/>
      <c r="BQ197" s="17"/>
      <c r="BR197" s="17"/>
      <c r="BS197" s="17"/>
      <c r="BT197" s="17"/>
      <c r="BU197" s="17"/>
      <c r="BV197" s="17"/>
      <c r="BW197" s="17"/>
      <c r="BX197" s="17"/>
      <c r="BY197" s="17"/>
      <c r="BZ197" s="17"/>
      <c r="CA197" s="17"/>
      <c r="CB197" s="17"/>
      <c r="CC197" s="17"/>
      <c r="CD197" s="17"/>
      <c r="CE197" s="17"/>
      <c r="CF197" s="1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</row>
    <row r="198" spans="4:95">
      <c r="D198" s="16">
        <v>576</v>
      </c>
      <c r="E198" s="1">
        <v>0.2109556645</v>
      </c>
      <c r="F198" s="1">
        <v>9.5202565190000005E-2</v>
      </c>
      <c r="G198" s="1">
        <v>0.1889596134</v>
      </c>
      <c r="H198" s="1">
        <v>0.2389110774</v>
      </c>
      <c r="I198" s="1">
        <v>0.1631968915</v>
      </c>
      <c r="J198" s="1">
        <v>0.1656068265</v>
      </c>
      <c r="K198" s="1">
        <v>6.3800469040000002E-2</v>
      </c>
      <c r="L198" s="1">
        <v>6.8122051660000002E-2</v>
      </c>
      <c r="M198" s="1"/>
      <c r="N198" s="1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7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  <c r="CC198" s="17"/>
      <c r="CD198" s="17"/>
      <c r="CE198" s="17"/>
      <c r="CF198" s="1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</row>
    <row r="199" spans="4:95">
      <c r="D199" s="16">
        <v>577</v>
      </c>
      <c r="E199" s="1">
        <v>0.21329079570000001</v>
      </c>
      <c r="F199" s="1">
        <v>9.6139453350000001E-2</v>
      </c>
      <c r="G199" s="1">
        <v>0.1889321357</v>
      </c>
      <c r="H199" s="1">
        <v>0.2420459539</v>
      </c>
      <c r="I199" s="1">
        <v>0.1647110879</v>
      </c>
      <c r="J199" s="1">
        <v>0.16587738690000001</v>
      </c>
      <c r="K199" s="1">
        <v>6.4067602160000001E-2</v>
      </c>
      <c r="L199" s="1">
        <v>6.8130530420000002E-2</v>
      </c>
      <c r="M199" s="1"/>
      <c r="N199" s="1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7"/>
      <c r="BR199" s="17"/>
      <c r="BS199" s="17"/>
      <c r="BT199" s="17"/>
      <c r="BU199" s="17"/>
      <c r="BV199" s="17"/>
      <c r="BW199" s="17"/>
      <c r="BX199" s="17"/>
      <c r="BY199" s="17"/>
      <c r="BZ199" s="17"/>
      <c r="CA199" s="17"/>
      <c r="CB199" s="17"/>
      <c r="CC199" s="17"/>
      <c r="CD199" s="17"/>
      <c r="CE199" s="17"/>
      <c r="CF199" s="1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</row>
    <row r="200" spans="4:95">
      <c r="D200" s="16">
        <v>578</v>
      </c>
      <c r="E200" s="1">
        <v>0.21484868230000001</v>
      </c>
      <c r="F200" s="1">
        <v>9.6221014859999995E-2</v>
      </c>
      <c r="G200" s="1">
        <v>0.19001933930000001</v>
      </c>
      <c r="H200" s="1">
        <v>0.24374561010000001</v>
      </c>
      <c r="I200" s="1">
        <v>0.16543884580000001</v>
      </c>
      <c r="J200" s="1">
        <v>0.16557438669999999</v>
      </c>
      <c r="K200" s="1">
        <v>6.3568554819999998E-2</v>
      </c>
      <c r="L200" s="1">
        <v>6.7945390940000003E-2</v>
      </c>
      <c r="M200" s="1"/>
      <c r="N200" s="1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  <c r="BI200" s="17"/>
      <c r="BJ200" s="17"/>
      <c r="BK200" s="17"/>
      <c r="BL200" s="17"/>
      <c r="BM200" s="17"/>
      <c r="BN200" s="17"/>
      <c r="BO200" s="17"/>
      <c r="BP200" s="17"/>
      <c r="BQ200" s="17"/>
      <c r="BR200" s="17"/>
      <c r="BS200" s="17"/>
      <c r="BT200" s="17"/>
      <c r="BU200" s="17"/>
      <c r="BV200" s="17"/>
      <c r="BW200" s="17"/>
      <c r="BX200" s="17"/>
      <c r="BY200" s="17"/>
      <c r="BZ200" s="17"/>
      <c r="CA200" s="17"/>
      <c r="CB200" s="17"/>
      <c r="CC200" s="17"/>
      <c r="CD200" s="17"/>
      <c r="CE200" s="17"/>
      <c r="CF200" s="1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</row>
    <row r="201" spans="4:95">
      <c r="D201" s="16">
        <v>579</v>
      </c>
      <c r="E201" s="1">
        <v>0.21599848569999999</v>
      </c>
      <c r="F201" s="1">
        <v>9.6436619759999995E-2</v>
      </c>
      <c r="G201" s="1">
        <v>0.1903481185</v>
      </c>
      <c r="H201" s="1">
        <v>0.245905757</v>
      </c>
      <c r="I201" s="1">
        <v>0.16622288530000001</v>
      </c>
      <c r="J201" s="1">
        <v>0.16528807579999999</v>
      </c>
      <c r="K201" s="1">
        <v>6.3037581740000001E-2</v>
      </c>
      <c r="L201" s="1">
        <v>6.7596726120000006E-2</v>
      </c>
      <c r="M201" s="1"/>
      <c r="N201" s="1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7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  <c r="CC201" s="17"/>
      <c r="CD201" s="17"/>
      <c r="CE201" s="17"/>
      <c r="CF201" s="1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</row>
    <row r="202" spans="4:95">
      <c r="D202" s="16">
        <v>580</v>
      </c>
      <c r="E202" s="1">
        <v>0.21736174820000001</v>
      </c>
      <c r="F202" s="1">
        <v>9.6660502250000002E-2</v>
      </c>
      <c r="G202" s="1">
        <v>0.1912943721</v>
      </c>
      <c r="H202" s="1">
        <v>0.24794426559999999</v>
      </c>
      <c r="I202" s="1">
        <v>0.16698417069999999</v>
      </c>
      <c r="J202" s="1">
        <v>0.16509926320000001</v>
      </c>
      <c r="K202" s="1">
        <v>6.2718078489999995E-2</v>
      </c>
      <c r="L202" s="1">
        <v>6.7276515070000001E-2</v>
      </c>
      <c r="M202" s="1"/>
      <c r="N202" s="1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7"/>
      <c r="BR202" s="17"/>
      <c r="BS202" s="17"/>
      <c r="BT202" s="17"/>
      <c r="BU202" s="17"/>
      <c r="BV202" s="17"/>
      <c r="BW202" s="17"/>
      <c r="BX202" s="17"/>
      <c r="BY202" s="17"/>
      <c r="BZ202" s="17"/>
      <c r="CA202" s="17"/>
      <c r="CB202" s="17"/>
      <c r="CC202" s="17"/>
      <c r="CD202" s="17"/>
      <c r="CE202" s="17"/>
      <c r="CF202" s="1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</row>
    <row r="203" spans="4:95">
      <c r="D203" s="16">
        <v>581</v>
      </c>
      <c r="E203" s="1">
        <v>0.21882989999999999</v>
      </c>
      <c r="F203" s="1">
        <v>9.6768304710000003E-2</v>
      </c>
      <c r="G203" s="1">
        <v>0.1913582683</v>
      </c>
      <c r="H203" s="1">
        <v>0.25033238530000002</v>
      </c>
      <c r="I203" s="1">
        <v>0.1679711938</v>
      </c>
      <c r="J203" s="1">
        <v>0.16506209969999999</v>
      </c>
      <c r="K203" s="1">
        <v>6.2559150159999993E-2</v>
      </c>
      <c r="L203" s="1">
        <v>6.7322522400000001E-2</v>
      </c>
      <c r="M203" s="1"/>
      <c r="N203" s="1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7"/>
      <c r="BR203" s="17"/>
      <c r="BS203" s="17"/>
      <c r="BT203" s="17"/>
      <c r="BU203" s="17"/>
      <c r="BV203" s="17"/>
      <c r="BW203" s="17"/>
      <c r="BX203" s="17"/>
      <c r="BY203" s="17"/>
      <c r="BZ203" s="17"/>
      <c r="CA203" s="17"/>
      <c r="CB203" s="17"/>
      <c r="CC203" s="17"/>
      <c r="CD203" s="17"/>
      <c r="CE203" s="17"/>
      <c r="CF203" s="1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</row>
    <row r="204" spans="4:95">
      <c r="D204" s="16">
        <v>582</v>
      </c>
      <c r="E204" s="1">
        <v>0.22042578460000001</v>
      </c>
      <c r="F204" s="1">
        <v>9.6923954780000002E-2</v>
      </c>
      <c r="G204" s="1">
        <v>0.19223962720000001</v>
      </c>
      <c r="H204" s="1">
        <v>0.25248634819999999</v>
      </c>
      <c r="I204" s="1">
        <v>0.16894766689999999</v>
      </c>
      <c r="J204" s="1">
        <v>0.16477793460000001</v>
      </c>
      <c r="K204" s="1">
        <v>6.2484562399999999E-2</v>
      </c>
      <c r="L204" s="1">
        <v>6.6859968010000007E-2</v>
      </c>
      <c r="M204" s="1"/>
      <c r="N204" s="1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7"/>
      <c r="CF204" s="1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</row>
    <row r="205" spans="4:95">
      <c r="D205" s="16">
        <v>583</v>
      </c>
      <c r="E205" s="1">
        <v>0.22156989569999999</v>
      </c>
      <c r="F205" s="1">
        <v>9.6832096579999999E-2</v>
      </c>
      <c r="G205" s="1">
        <v>0.19294980170000001</v>
      </c>
      <c r="H205" s="1">
        <v>0.25448766350000002</v>
      </c>
      <c r="I205" s="1">
        <v>0.16941963139999999</v>
      </c>
      <c r="J205" s="1">
        <v>0.16488689179999999</v>
      </c>
      <c r="K205" s="1">
        <v>6.1946637929999999E-2</v>
      </c>
      <c r="L205" s="1">
        <v>6.6406294699999993E-2</v>
      </c>
      <c r="M205" s="1"/>
      <c r="N205" s="1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7"/>
      <c r="BR205" s="17"/>
      <c r="BS205" s="17"/>
      <c r="BT205" s="17"/>
      <c r="BU205" s="17"/>
      <c r="BV205" s="17"/>
      <c r="BW205" s="17"/>
      <c r="BX205" s="17"/>
      <c r="BY205" s="17"/>
      <c r="BZ205" s="17"/>
      <c r="CA205" s="17"/>
      <c r="CB205" s="17"/>
      <c r="CC205" s="17"/>
      <c r="CD205" s="17"/>
      <c r="CE205" s="17"/>
      <c r="CF205" s="1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</row>
    <row r="206" spans="4:95">
      <c r="D206" s="16">
        <v>584</v>
      </c>
      <c r="E206" s="1">
        <v>0.2231946886</v>
      </c>
      <c r="F206" s="1">
        <v>9.7516611219999993E-2</v>
      </c>
      <c r="G206" s="1">
        <v>0.1932476461</v>
      </c>
      <c r="H206" s="1">
        <v>0.25690197939999998</v>
      </c>
      <c r="I206" s="1">
        <v>0.17088003460000001</v>
      </c>
      <c r="J206" s="1">
        <v>0.16500678660000001</v>
      </c>
      <c r="K206" s="1">
        <v>6.2126040459999997E-2</v>
      </c>
      <c r="L206" s="1">
        <v>6.6427014770000001E-2</v>
      </c>
      <c r="M206" s="1"/>
      <c r="N206" s="1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7"/>
      <c r="BR206" s="17"/>
      <c r="BS206" s="17"/>
      <c r="BT206" s="17"/>
      <c r="BU206" s="17"/>
      <c r="BV206" s="17"/>
      <c r="BW206" s="17"/>
      <c r="BX206" s="17"/>
      <c r="BY206" s="17"/>
      <c r="BZ206" s="17"/>
      <c r="CA206" s="17"/>
      <c r="CB206" s="17"/>
      <c r="CC206" s="17"/>
      <c r="CD206" s="17"/>
      <c r="CE206" s="17"/>
      <c r="CF206" s="1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</row>
    <row r="207" spans="4:95">
      <c r="D207" s="16">
        <v>585</v>
      </c>
      <c r="E207" s="1">
        <v>0.22391931709999999</v>
      </c>
      <c r="F207" s="1">
        <v>9.7438596190000004E-2</v>
      </c>
      <c r="G207" s="1">
        <v>0.19377668200000001</v>
      </c>
      <c r="H207" s="1">
        <v>0.25863492490000001</v>
      </c>
      <c r="I207" s="1">
        <v>0.17124474049999999</v>
      </c>
      <c r="J207" s="1">
        <v>0.1643325984</v>
      </c>
      <c r="K207" s="1">
        <v>6.1888840049999998E-2</v>
      </c>
      <c r="L207" s="1">
        <v>6.6514112060000005E-2</v>
      </c>
      <c r="M207" s="1"/>
      <c r="N207" s="1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7"/>
      <c r="BR207" s="17"/>
      <c r="BS207" s="17"/>
      <c r="BT207" s="17"/>
      <c r="BU207" s="17"/>
      <c r="BV207" s="17"/>
      <c r="BW207" s="17"/>
      <c r="BX207" s="17"/>
      <c r="BY207" s="17"/>
      <c r="BZ207" s="17"/>
      <c r="CA207" s="17"/>
      <c r="CB207" s="17"/>
      <c r="CC207" s="17"/>
      <c r="CD207" s="17"/>
      <c r="CE207" s="17"/>
      <c r="CF207" s="1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</row>
    <row r="208" spans="4:95">
      <c r="D208" s="16">
        <v>586</v>
      </c>
      <c r="E208" s="1">
        <v>0.22496186200000001</v>
      </c>
      <c r="F208" s="1">
        <v>9.7376719119999997E-2</v>
      </c>
      <c r="G208" s="1">
        <v>0.19416174289999999</v>
      </c>
      <c r="H208" s="1">
        <v>0.2608697116</v>
      </c>
      <c r="I208" s="1">
        <v>0.17193825539999999</v>
      </c>
      <c r="J208" s="1">
        <v>0.16455139220000001</v>
      </c>
      <c r="K208" s="1">
        <v>6.156287715E-2</v>
      </c>
      <c r="L208" s="1">
        <v>6.6066011790000004E-2</v>
      </c>
      <c r="M208" s="1"/>
      <c r="N208" s="1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7"/>
      <c r="BR208" s="17"/>
      <c r="BS208" s="17"/>
      <c r="BT208" s="17"/>
      <c r="BU208" s="17"/>
      <c r="BV208" s="17"/>
      <c r="BW208" s="17"/>
      <c r="BX208" s="17"/>
      <c r="BY208" s="17"/>
      <c r="BZ208" s="17"/>
      <c r="CA208" s="17"/>
      <c r="CB208" s="17"/>
      <c r="CC208" s="17"/>
      <c r="CD208" s="17"/>
      <c r="CE208" s="17"/>
      <c r="CF208" s="1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</row>
    <row r="209" spans="4:95">
      <c r="D209" s="16">
        <v>587</v>
      </c>
      <c r="E209" s="1">
        <v>0.2262586355</v>
      </c>
      <c r="F209" s="1">
        <v>9.7544126209999998E-2</v>
      </c>
      <c r="G209" s="1">
        <v>0.1937500238</v>
      </c>
      <c r="H209" s="1">
        <v>0.2632017136</v>
      </c>
      <c r="I209" s="1">
        <v>0.17328438160000001</v>
      </c>
      <c r="J209" s="1">
        <v>0.16449992359999999</v>
      </c>
      <c r="K209" s="1">
        <v>6.1513751749999998E-2</v>
      </c>
      <c r="L209" s="1">
        <v>6.6089279949999996E-2</v>
      </c>
      <c r="M209" s="1"/>
      <c r="N209" s="1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7"/>
      <c r="BR209" s="17"/>
      <c r="BS209" s="17"/>
      <c r="BT209" s="17"/>
      <c r="BU209" s="17"/>
      <c r="BV209" s="17"/>
      <c r="BW209" s="17"/>
      <c r="BX209" s="17"/>
      <c r="BY209" s="17"/>
      <c r="BZ209" s="17"/>
      <c r="CA209" s="17"/>
      <c r="CB209" s="17"/>
      <c r="CC209" s="17"/>
      <c r="CD209" s="17"/>
      <c r="CE209" s="17"/>
      <c r="CF209" s="1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</row>
    <row r="210" spans="4:95">
      <c r="D210" s="16">
        <v>588</v>
      </c>
      <c r="E210" s="1">
        <v>0.22743567819999999</v>
      </c>
      <c r="F210" s="1">
        <v>9.7490981219999995E-2</v>
      </c>
      <c r="G210" s="1">
        <v>0.19351747629999999</v>
      </c>
      <c r="H210" s="1">
        <v>0.26529839630000002</v>
      </c>
      <c r="I210" s="1">
        <v>0.1738062501</v>
      </c>
      <c r="J210" s="1">
        <v>0.16412845249999999</v>
      </c>
      <c r="K210" s="1">
        <v>6.1051473019999997E-2</v>
      </c>
      <c r="L210" s="1">
        <v>6.5578244630000004E-2</v>
      </c>
      <c r="M210" s="1"/>
      <c r="N210" s="1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7"/>
      <c r="BR210" s="17"/>
      <c r="BS210" s="17"/>
      <c r="BT210" s="17"/>
      <c r="BU210" s="17"/>
      <c r="BV210" s="17"/>
      <c r="BW210" s="17"/>
      <c r="BX210" s="17"/>
      <c r="BY210" s="17"/>
      <c r="BZ210" s="17"/>
      <c r="CA210" s="17"/>
      <c r="CB210" s="17"/>
      <c r="CC210" s="17"/>
      <c r="CD210" s="17"/>
      <c r="CE210" s="17"/>
      <c r="CF210" s="1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</row>
    <row r="211" spans="4:95">
      <c r="D211" s="16">
        <v>589</v>
      </c>
      <c r="E211" s="1">
        <v>0.22816133499999999</v>
      </c>
      <c r="F211" s="1">
        <v>9.7232311959999998E-2</v>
      </c>
      <c r="G211" s="1">
        <v>0.1937470734</v>
      </c>
      <c r="H211" s="1">
        <v>0.26738950610000001</v>
      </c>
      <c r="I211" s="1">
        <v>0.17461696269999999</v>
      </c>
      <c r="J211" s="1">
        <v>0.16398935019999999</v>
      </c>
      <c r="K211" s="1">
        <v>6.0568973419999998E-2</v>
      </c>
      <c r="L211" s="1">
        <v>6.5532483160000002E-2</v>
      </c>
      <c r="M211" s="1"/>
      <c r="N211" s="1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  <c r="BW211" s="17"/>
      <c r="BX211" s="17"/>
      <c r="BY211" s="17"/>
      <c r="BZ211" s="17"/>
      <c r="CA211" s="17"/>
      <c r="CB211" s="17"/>
      <c r="CC211" s="17"/>
      <c r="CD211" s="17"/>
      <c r="CE211" s="17"/>
      <c r="CF211" s="1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</row>
    <row r="212" spans="4:95">
      <c r="D212" s="16">
        <v>590</v>
      </c>
      <c r="E212" s="1">
        <v>0.2288015783</v>
      </c>
      <c r="F212" s="1">
        <v>9.7344264390000004E-2</v>
      </c>
      <c r="G212" s="1">
        <v>0.19411624969999999</v>
      </c>
      <c r="H212" s="1">
        <v>0.2693839073</v>
      </c>
      <c r="I212" s="1">
        <v>0.17536155880000001</v>
      </c>
      <c r="J212" s="1">
        <v>0.16358835999999999</v>
      </c>
      <c r="K212" s="1">
        <v>6.0220208019999999E-2</v>
      </c>
      <c r="L212" s="1">
        <v>6.4972043039999997E-2</v>
      </c>
      <c r="M212" s="1"/>
      <c r="N212" s="1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  <c r="CC212" s="17"/>
      <c r="CD212" s="17"/>
      <c r="CE212" s="17"/>
      <c r="CF212" s="1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</row>
    <row r="213" spans="4:95">
      <c r="D213" s="16">
        <v>591</v>
      </c>
      <c r="E213" s="1">
        <v>0.2296237797</v>
      </c>
      <c r="F213" s="1">
        <v>9.7180634739999994E-2</v>
      </c>
      <c r="G213" s="1">
        <v>0.1931237727</v>
      </c>
      <c r="H213" s="1">
        <v>0.2717468441</v>
      </c>
      <c r="I213" s="1">
        <v>0.17611154909999999</v>
      </c>
      <c r="J213" s="1">
        <v>0.16346217690000001</v>
      </c>
      <c r="K213" s="1">
        <v>6.0010261830000002E-2</v>
      </c>
      <c r="L213" s="1">
        <v>6.4824551339999995E-2</v>
      </c>
      <c r="M213" s="1"/>
      <c r="N213" s="1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7"/>
      <c r="BR213" s="17"/>
      <c r="BS213" s="17"/>
      <c r="BT213" s="17"/>
      <c r="BU213" s="17"/>
      <c r="BV213" s="17"/>
      <c r="BW213" s="17"/>
      <c r="BX213" s="17"/>
      <c r="BY213" s="17"/>
      <c r="BZ213" s="17"/>
      <c r="CA213" s="17"/>
      <c r="CB213" s="17"/>
      <c r="CC213" s="17"/>
      <c r="CD213" s="17"/>
      <c r="CE213" s="17"/>
      <c r="CF213" s="1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</row>
    <row r="214" spans="4:95">
      <c r="D214" s="16">
        <v>592</v>
      </c>
      <c r="E214" s="1">
        <v>0.2304927856</v>
      </c>
      <c r="F214" s="1">
        <v>9.7112968559999999E-2</v>
      </c>
      <c r="G214" s="1">
        <v>0.19290976230000001</v>
      </c>
      <c r="H214" s="1">
        <v>0.2737780809</v>
      </c>
      <c r="I214" s="1">
        <v>0.17647011579999999</v>
      </c>
      <c r="J214" s="1">
        <v>0.1631694883</v>
      </c>
      <c r="K214" s="1">
        <v>5.9761889280000001E-2</v>
      </c>
      <c r="L214" s="1">
        <v>6.4336068930000004E-2</v>
      </c>
      <c r="M214" s="1"/>
      <c r="N214" s="1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7"/>
      <c r="BR214" s="17"/>
      <c r="BS214" s="17"/>
      <c r="BT214" s="17"/>
      <c r="BU214" s="17"/>
      <c r="BV214" s="17"/>
      <c r="BW214" s="17"/>
      <c r="BX214" s="17"/>
      <c r="BY214" s="17"/>
      <c r="BZ214" s="17"/>
      <c r="CA214" s="17"/>
      <c r="CB214" s="17"/>
      <c r="CC214" s="17"/>
      <c r="CD214" s="17"/>
      <c r="CE214" s="17"/>
      <c r="CF214" s="1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</row>
    <row r="215" spans="4:95">
      <c r="D215" s="16">
        <v>593</v>
      </c>
      <c r="E215" s="1">
        <v>0.23144643009999999</v>
      </c>
      <c r="F215" s="1">
        <v>9.7090244290000002E-2</v>
      </c>
      <c r="G215" s="1">
        <v>0.193059653</v>
      </c>
      <c r="H215" s="1">
        <v>0.27578559520000001</v>
      </c>
      <c r="I215" s="1">
        <v>0.17703032490000001</v>
      </c>
      <c r="J215" s="1">
        <v>0.1628511846</v>
      </c>
      <c r="K215" s="1">
        <v>5.9369072320000001E-2</v>
      </c>
      <c r="L215" s="1">
        <v>6.3873268659999996E-2</v>
      </c>
      <c r="M215" s="1"/>
      <c r="N215" s="1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7"/>
      <c r="BR215" s="17"/>
      <c r="BS215" s="17"/>
      <c r="BT215" s="17"/>
      <c r="BU215" s="17"/>
      <c r="BV215" s="17"/>
      <c r="BW215" s="17"/>
      <c r="BX215" s="17"/>
      <c r="BY215" s="17"/>
      <c r="BZ215" s="17"/>
      <c r="CA215" s="17"/>
      <c r="CB215" s="17"/>
      <c r="CC215" s="17"/>
      <c r="CD215" s="17"/>
      <c r="CE215" s="17"/>
      <c r="CF215" s="1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</row>
    <row r="216" spans="4:95">
      <c r="D216" s="16">
        <v>594</v>
      </c>
      <c r="E216" s="1">
        <v>0.23275336620000001</v>
      </c>
      <c r="F216" s="1">
        <v>9.7455278039999996E-2</v>
      </c>
      <c r="G216" s="1">
        <v>0.19408950210000001</v>
      </c>
      <c r="H216" s="1">
        <v>0.27850046750000002</v>
      </c>
      <c r="I216" s="1">
        <v>0.1783822477</v>
      </c>
      <c r="J216" s="1">
        <v>0.16317784790000001</v>
      </c>
      <c r="K216" s="1">
        <v>5.9531025590000002E-2</v>
      </c>
      <c r="L216" s="1">
        <v>6.4469136299999993E-2</v>
      </c>
      <c r="M216" s="1"/>
      <c r="N216" s="1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7"/>
      <c r="BR216" s="17"/>
      <c r="BS216" s="17"/>
      <c r="BT216" s="17"/>
      <c r="BU216" s="17"/>
      <c r="BV216" s="17"/>
      <c r="BW216" s="17"/>
      <c r="BX216" s="17"/>
      <c r="BY216" s="17"/>
      <c r="BZ216" s="17"/>
      <c r="CA216" s="17"/>
      <c r="CB216" s="17"/>
      <c r="CC216" s="17"/>
      <c r="CD216" s="17"/>
      <c r="CE216" s="17"/>
      <c r="CF216" s="1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</row>
    <row r="217" spans="4:95">
      <c r="D217" s="16">
        <v>595</v>
      </c>
      <c r="E217" s="1">
        <v>0.23337565360000001</v>
      </c>
      <c r="F217" s="1">
        <v>9.7092732789999997E-2</v>
      </c>
      <c r="G217" s="1">
        <v>0.19428181650000001</v>
      </c>
      <c r="H217" s="1">
        <v>0.28052178030000002</v>
      </c>
      <c r="I217" s="1">
        <v>0.17926594609999999</v>
      </c>
      <c r="J217" s="1">
        <v>0.16295322779999999</v>
      </c>
      <c r="K217" s="1">
        <v>5.9259071949999999E-2</v>
      </c>
      <c r="L217" s="1">
        <v>6.3928119840000006E-2</v>
      </c>
      <c r="M217" s="1"/>
      <c r="N217" s="1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7"/>
      <c r="BR217" s="17"/>
      <c r="BS217" s="17"/>
      <c r="BT217" s="17"/>
      <c r="BU217" s="17"/>
      <c r="BV217" s="17"/>
      <c r="BW217" s="17"/>
      <c r="BX217" s="17"/>
      <c r="BY217" s="17"/>
      <c r="BZ217" s="17"/>
      <c r="CA217" s="17"/>
      <c r="CB217" s="17"/>
      <c r="CC217" s="17"/>
      <c r="CD217" s="17"/>
      <c r="CE217" s="17"/>
      <c r="CF217" s="1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</row>
    <row r="218" spans="4:95">
      <c r="D218" s="16">
        <v>596</v>
      </c>
      <c r="E218" s="1">
        <v>0.2342766523</v>
      </c>
      <c r="F218" s="1">
        <v>9.6950069070000006E-2</v>
      </c>
      <c r="G218" s="1">
        <v>0.19337223470000001</v>
      </c>
      <c r="H218" s="1">
        <v>0.28276386860000002</v>
      </c>
      <c r="I218" s="1">
        <v>0.1795387715</v>
      </c>
      <c r="J218" s="1">
        <v>0.1626917869</v>
      </c>
      <c r="K218" s="1">
        <v>5.8828677980000001E-2</v>
      </c>
      <c r="L218" s="1">
        <v>6.3668772580000005E-2</v>
      </c>
      <c r="M218" s="1"/>
      <c r="N218" s="1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  <c r="BW218" s="17"/>
      <c r="BX218" s="17"/>
      <c r="BY218" s="17"/>
      <c r="BZ218" s="17"/>
      <c r="CA218" s="17"/>
      <c r="CB218" s="17"/>
      <c r="CC218" s="17"/>
      <c r="CD218" s="17"/>
      <c r="CE218" s="17"/>
      <c r="CF218" s="1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</row>
    <row r="219" spans="4:95">
      <c r="D219" s="16">
        <v>597</v>
      </c>
      <c r="E219" s="1">
        <v>0.23521712419999999</v>
      </c>
      <c r="F219" s="1">
        <v>9.6759475770000006E-2</v>
      </c>
      <c r="G219" s="1">
        <v>0.1946506351</v>
      </c>
      <c r="H219" s="1">
        <v>0.28476038580000002</v>
      </c>
      <c r="I219" s="1">
        <v>0.18023878339999999</v>
      </c>
      <c r="J219" s="1">
        <v>0.16254702209999999</v>
      </c>
      <c r="K219" s="1">
        <v>5.8841925109999998E-2</v>
      </c>
      <c r="L219" s="1">
        <v>6.3643716279999998E-2</v>
      </c>
      <c r="M219" s="1"/>
      <c r="N219" s="1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7"/>
      <c r="BR219" s="17"/>
      <c r="BS219" s="17"/>
      <c r="BT219" s="17"/>
      <c r="BU219" s="17"/>
      <c r="BV219" s="17"/>
      <c r="BW219" s="17"/>
      <c r="BX219" s="17"/>
      <c r="BY219" s="17"/>
      <c r="BZ219" s="17"/>
      <c r="CA219" s="17"/>
      <c r="CB219" s="17"/>
      <c r="CC219" s="17"/>
      <c r="CD219" s="17"/>
      <c r="CE219" s="17"/>
      <c r="CF219" s="1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</row>
    <row r="220" spans="4:95">
      <c r="D220" s="16">
        <v>598</v>
      </c>
      <c r="E220" s="1">
        <v>0.23589023949999999</v>
      </c>
      <c r="F220" s="1">
        <v>9.6643365920000002E-2</v>
      </c>
      <c r="G220" s="1">
        <v>0.19403190910000001</v>
      </c>
      <c r="H220" s="1">
        <v>0.28683590889999999</v>
      </c>
      <c r="I220" s="1">
        <v>0.18086284399999999</v>
      </c>
      <c r="J220" s="1">
        <v>0.16246490180000001</v>
      </c>
      <c r="K220" s="1">
        <v>5.834381282E-2</v>
      </c>
      <c r="L220" s="1">
        <v>6.3193179670000002E-2</v>
      </c>
      <c r="M220" s="1"/>
      <c r="N220" s="1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7"/>
      <c r="BR220" s="17"/>
      <c r="BS220" s="17"/>
      <c r="BT220" s="17"/>
      <c r="BU220" s="17"/>
      <c r="BV220" s="17"/>
      <c r="BW220" s="17"/>
      <c r="BX220" s="17"/>
      <c r="BY220" s="17"/>
      <c r="BZ220" s="17"/>
      <c r="CA220" s="17"/>
      <c r="CB220" s="17"/>
      <c r="CC220" s="17"/>
      <c r="CD220" s="17"/>
      <c r="CE220" s="17"/>
      <c r="CF220" s="1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</row>
    <row r="221" spans="4:95">
      <c r="D221" s="16">
        <v>599</v>
      </c>
      <c r="E221" s="1">
        <v>0.23654590549999999</v>
      </c>
      <c r="F221" s="1">
        <v>9.7368754449999997E-2</v>
      </c>
      <c r="G221" s="1">
        <v>0.1921207607</v>
      </c>
      <c r="H221" s="1">
        <v>0.28900721670000001</v>
      </c>
      <c r="I221" s="1">
        <v>0.18114103379999999</v>
      </c>
      <c r="J221" s="1">
        <v>0.1620152295</v>
      </c>
      <c r="K221" s="1">
        <v>5.8089379220000001E-2</v>
      </c>
      <c r="L221" s="1">
        <v>6.2485188249999997E-2</v>
      </c>
      <c r="M221" s="1"/>
      <c r="N221" s="1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  <c r="CC221" s="17"/>
      <c r="CD221" s="17"/>
      <c r="CE221" s="17"/>
      <c r="CF221" s="1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</row>
    <row r="222" spans="4:95">
      <c r="D222" s="16">
        <v>600</v>
      </c>
      <c r="E222" s="1">
        <v>0.2375386357</v>
      </c>
      <c r="F222" s="1">
        <v>9.7249247129999994E-2</v>
      </c>
      <c r="G222" s="1">
        <v>0.19322507080000001</v>
      </c>
      <c r="H222" s="1">
        <v>0.29097065329999999</v>
      </c>
      <c r="I222" s="1">
        <v>0.18221743400000001</v>
      </c>
      <c r="J222" s="1">
        <v>0.1619025171</v>
      </c>
      <c r="K222" s="1">
        <v>5.7912196960000002E-2</v>
      </c>
      <c r="L222" s="1">
        <v>6.2742933629999997E-2</v>
      </c>
      <c r="M222" s="1"/>
      <c r="N222" s="1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</row>
    <row r="223" spans="4:95">
      <c r="D223" s="16">
        <v>601</v>
      </c>
      <c r="E223" s="1">
        <v>0.23895110189999999</v>
      </c>
      <c r="F223" s="1">
        <v>9.6990257499999996E-2</v>
      </c>
      <c r="G223" s="1">
        <v>0.19347076120000001</v>
      </c>
      <c r="H223" s="1">
        <v>0.29325434569999997</v>
      </c>
      <c r="I223" s="1">
        <v>0.1828057766</v>
      </c>
      <c r="J223" s="1">
        <v>0.16131229699999999</v>
      </c>
      <c r="K223" s="1">
        <v>5.745657161E-2</v>
      </c>
      <c r="L223" s="1">
        <v>6.23138845E-2</v>
      </c>
      <c r="M223" s="1"/>
      <c r="N223" s="1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  <c r="BW223" s="17"/>
      <c r="BX223" s="17"/>
      <c r="BY223" s="17"/>
      <c r="BZ223" s="17"/>
      <c r="CA223" s="17"/>
      <c r="CB223" s="17"/>
      <c r="CC223" s="17"/>
      <c r="CD223" s="17"/>
      <c r="CE223" s="17"/>
      <c r="CF223" s="1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</row>
    <row r="224" spans="4:95">
      <c r="D224" s="16">
        <v>602</v>
      </c>
      <c r="E224" s="1">
        <v>0.23983769120000001</v>
      </c>
      <c r="F224" s="1">
        <v>9.6974499519999993E-2</v>
      </c>
      <c r="G224" s="1">
        <v>0.19367805120000001</v>
      </c>
      <c r="H224" s="1">
        <v>0.29546675090000002</v>
      </c>
      <c r="I224" s="1">
        <v>0.18343895669999999</v>
      </c>
      <c r="J224" s="1">
        <v>0.1615697592</v>
      </c>
      <c r="K224" s="1">
        <v>5.72142005E-2</v>
      </c>
      <c r="L224" s="1">
        <v>6.1992675070000003E-2</v>
      </c>
      <c r="M224" s="1"/>
      <c r="N224" s="1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</row>
    <row r="225" spans="4:95">
      <c r="D225" s="16">
        <v>603</v>
      </c>
      <c r="E225" s="1">
        <v>0.24088899790000001</v>
      </c>
      <c r="F225" s="1">
        <v>9.6871212119999994E-2</v>
      </c>
      <c r="G225" s="1">
        <v>0.1944190264</v>
      </c>
      <c r="H225" s="1">
        <v>0.29763725400000002</v>
      </c>
      <c r="I225" s="1">
        <v>0.18365518750000001</v>
      </c>
      <c r="J225" s="1">
        <v>0.16101235150000001</v>
      </c>
      <c r="K225" s="1">
        <v>5.6999355549999998E-2</v>
      </c>
      <c r="L225" s="1">
        <v>6.1966281380000002E-2</v>
      </c>
      <c r="M225" s="1"/>
      <c r="N225" s="1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7"/>
      <c r="CF225" s="1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</row>
    <row r="226" spans="4:95">
      <c r="D226" s="16">
        <v>604</v>
      </c>
      <c r="E226" s="1">
        <v>0.2420351952</v>
      </c>
      <c r="F226" s="1">
        <v>9.6794955429999996E-2</v>
      </c>
      <c r="G226" s="1">
        <v>0.19539943339999999</v>
      </c>
      <c r="H226" s="1">
        <v>0.29958719020000002</v>
      </c>
      <c r="I226" s="1">
        <v>0.18469601869999999</v>
      </c>
      <c r="J226" s="1">
        <v>0.1609645337</v>
      </c>
      <c r="K226" s="1">
        <v>5.6954551489999998E-2</v>
      </c>
      <c r="L226" s="1">
        <v>6.1504445970000002E-2</v>
      </c>
      <c r="M226" s="1"/>
      <c r="N226" s="1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  <c r="BW226" s="17"/>
      <c r="BX226" s="17"/>
      <c r="BY226" s="17"/>
      <c r="BZ226" s="17"/>
      <c r="CA226" s="17"/>
      <c r="CB226" s="17"/>
      <c r="CC226" s="17"/>
      <c r="CD226" s="17"/>
      <c r="CE226" s="17"/>
      <c r="CF226" s="1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</row>
    <row r="227" spans="4:95">
      <c r="D227" s="16">
        <v>605</v>
      </c>
      <c r="E227" s="1">
        <v>0.2432335913</v>
      </c>
      <c r="F227" s="1">
        <v>9.7077585760000001E-2</v>
      </c>
      <c r="G227" s="1">
        <v>0.19583800439999999</v>
      </c>
      <c r="H227" s="1">
        <v>0.30166488889999998</v>
      </c>
      <c r="I227" s="1">
        <v>0.1853665411</v>
      </c>
      <c r="J227" s="1">
        <v>0.16073851289999999</v>
      </c>
      <c r="K227" s="1">
        <v>5.6755352770000003E-2</v>
      </c>
      <c r="L227" s="1">
        <v>6.1300735920000002E-2</v>
      </c>
      <c r="M227" s="1"/>
      <c r="N227" s="1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  <c r="BW227" s="17"/>
      <c r="BX227" s="17"/>
      <c r="BY227" s="17"/>
      <c r="BZ227" s="17"/>
      <c r="CA227" s="17"/>
      <c r="CB227" s="17"/>
      <c r="CC227" s="17"/>
      <c r="CD227" s="17"/>
      <c r="CE227" s="17"/>
      <c r="CF227" s="1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</row>
    <row r="228" spans="4:95">
      <c r="D228" s="16">
        <v>606</v>
      </c>
      <c r="E228" s="1">
        <v>0.24413155019999999</v>
      </c>
      <c r="F228" s="1">
        <v>9.6968479450000006E-2</v>
      </c>
      <c r="G228" s="1">
        <v>0.19451251629999999</v>
      </c>
      <c r="H228" s="1">
        <v>0.30375644559999998</v>
      </c>
      <c r="I228" s="1">
        <v>0.1859511137</v>
      </c>
      <c r="J228" s="1">
        <v>0.16062138970000001</v>
      </c>
      <c r="K228" s="1">
        <v>5.629324913E-2</v>
      </c>
      <c r="L228" s="1">
        <v>6.0864713039999997E-2</v>
      </c>
      <c r="M228" s="1"/>
      <c r="N228" s="1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  <c r="BW228" s="17"/>
      <c r="BX228" s="17"/>
      <c r="BY228" s="17"/>
      <c r="BZ228" s="17"/>
      <c r="CA228" s="17"/>
      <c r="CB228" s="17"/>
      <c r="CC228" s="17"/>
      <c r="CD228" s="17"/>
      <c r="CE228" s="17"/>
      <c r="CF228" s="1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</row>
    <row r="229" spans="4:95">
      <c r="D229" s="16">
        <v>607</v>
      </c>
      <c r="E229" s="1">
        <v>0.2452500165</v>
      </c>
      <c r="F229" s="1">
        <v>9.7628161310000003E-2</v>
      </c>
      <c r="G229" s="1">
        <v>0.19295948739999999</v>
      </c>
      <c r="H229" s="1">
        <v>0.3060604334</v>
      </c>
      <c r="I229" s="1">
        <v>0.1865686178</v>
      </c>
      <c r="J229" s="1">
        <v>0.16024112700000001</v>
      </c>
      <c r="K229" s="1">
        <v>5.6229777629999998E-2</v>
      </c>
      <c r="L229" s="1">
        <v>6.0420289639999999E-2</v>
      </c>
      <c r="M229" s="1"/>
      <c r="N229" s="1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7"/>
      <c r="BR229" s="17"/>
      <c r="BS229" s="17"/>
      <c r="BT229" s="17"/>
      <c r="BU229" s="17"/>
      <c r="BV229" s="17"/>
      <c r="BW229" s="17"/>
      <c r="BX229" s="17"/>
      <c r="BY229" s="17"/>
      <c r="BZ229" s="17"/>
      <c r="CA229" s="17"/>
      <c r="CB229" s="17"/>
      <c r="CC229" s="17"/>
      <c r="CD229" s="17"/>
      <c r="CE229" s="17"/>
      <c r="CF229" s="1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</row>
    <row r="230" spans="4:95">
      <c r="D230" s="16">
        <v>608</v>
      </c>
      <c r="E230" s="1">
        <v>0.24631443619999999</v>
      </c>
      <c r="F230" s="1">
        <v>9.7553908819999993E-2</v>
      </c>
      <c r="G230" s="1">
        <v>0.19426052269999999</v>
      </c>
      <c r="H230" s="1">
        <v>0.30775287750000002</v>
      </c>
      <c r="I230" s="1">
        <v>0.1870749146</v>
      </c>
      <c r="J230" s="1">
        <v>0.16004559400000001</v>
      </c>
      <c r="K230" s="1">
        <v>5.587714538E-2</v>
      </c>
      <c r="L230" s="1">
        <v>6.0423351819999999E-2</v>
      </c>
      <c r="M230" s="1"/>
      <c r="N230" s="1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  <c r="BW230" s="17"/>
      <c r="BX230" s="17"/>
      <c r="BY230" s="17"/>
      <c r="BZ230" s="17"/>
      <c r="CA230" s="17"/>
      <c r="CB230" s="17"/>
      <c r="CC230" s="17"/>
      <c r="CD230" s="17"/>
      <c r="CE230" s="17"/>
      <c r="CF230" s="1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</row>
    <row r="231" spans="4:95">
      <c r="D231" s="16">
        <v>609</v>
      </c>
      <c r="E231" s="1">
        <v>0.24784554540000001</v>
      </c>
      <c r="F231" s="1">
        <v>9.7696617250000006E-2</v>
      </c>
      <c r="G231" s="1">
        <v>0.19651399550000001</v>
      </c>
      <c r="H231" s="1">
        <v>0.30999186639999998</v>
      </c>
      <c r="I231" s="1">
        <v>0.1877163798</v>
      </c>
      <c r="J231" s="1">
        <v>0.1601599008</v>
      </c>
      <c r="K231" s="1">
        <v>5.6028112769999999E-2</v>
      </c>
      <c r="L231" s="1">
        <v>6.039607525E-2</v>
      </c>
      <c r="M231" s="1"/>
      <c r="N231" s="1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  <c r="BW231" s="17"/>
      <c r="BX231" s="17"/>
      <c r="BY231" s="17"/>
      <c r="BZ231" s="17"/>
      <c r="CA231" s="17"/>
      <c r="CB231" s="17"/>
      <c r="CC231" s="17"/>
      <c r="CD231" s="17"/>
      <c r="CE231" s="17"/>
      <c r="CF231" s="1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</row>
    <row r="232" spans="4:95">
      <c r="D232" s="16">
        <v>610</v>
      </c>
      <c r="E232" s="1">
        <v>0.2486481965</v>
      </c>
      <c r="F232" s="1">
        <v>9.7090922299999993E-2</v>
      </c>
      <c r="G232" s="1">
        <v>0.19649381939999999</v>
      </c>
      <c r="H232" s="1">
        <v>0.31169340010000002</v>
      </c>
      <c r="I232" s="1">
        <v>0.1878043264</v>
      </c>
      <c r="J232" s="1">
        <v>0.1594669819</v>
      </c>
      <c r="K232" s="1">
        <v>5.5300999429999997E-2</v>
      </c>
      <c r="L232" s="1">
        <v>6.0004614290000001E-2</v>
      </c>
      <c r="M232" s="1"/>
      <c r="N232" s="1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  <c r="BW232" s="17"/>
      <c r="BX232" s="17"/>
      <c r="BY232" s="17"/>
      <c r="BZ232" s="17"/>
      <c r="CA232" s="17"/>
      <c r="CB232" s="17"/>
      <c r="CC232" s="17"/>
      <c r="CD232" s="17"/>
      <c r="CE232" s="17"/>
      <c r="CF232" s="1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</row>
    <row r="233" spans="4:95">
      <c r="D233" s="16">
        <v>611</v>
      </c>
      <c r="E233" s="1">
        <v>0.2495949566</v>
      </c>
      <c r="F233" s="1">
        <v>9.7576498989999996E-2</v>
      </c>
      <c r="G233" s="1">
        <v>0.19485545160000001</v>
      </c>
      <c r="H233" s="1">
        <v>0.31369304660000003</v>
      </c>
      <c r="I233" s="1">
        <v>0.1883638799</v>
      </c>
      <c r="J233" s="1">
        <v>0.15912409129999999</v>
      </c>
      <c r="K233" s="1">
        <v>5.5094800889999997E-2</v>
      </c>
      <c r="L233" s="1">
        <v>5.9653598820000001E-2</v>
      </c>
      <c r="M233" s="1"/>
      <c r="N233" s="1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  <c r="BW233" s="17"/>
      <c r="BX233" s="17"/>
      <c r="BY233" s="17"/>
      <c r="BZ233" s="17"/>
      <c r="CA233" s="17"/>
      <c r="CB233" s="17"/>
      <c r="CC233" s="17"/>
      <c r="CD233" s="17"/>
      <c r="CE233" s="17"/>
      <c r="CF233" s="1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</row>
    <row r="234" spans="4:95">
      <c r="D234" s="16">
        <v>612</v>
      </c>
      <c r="E234" s="1">
        <v>0.25136053559999999</v>
      </c>
      <c r="F234" s="1">
        <v>9.794823825E-2</v>
      </c>
      <c r="G234" s="1">
        <v>0.19505427780000001</v>
      </c>
      <c r="H234" s="1">
        <v>0.31592920419999998</v>
      </c>
      <c r="I234" s="1">
        <v>0.18921247120000001</v>
      </c>
      <c r="J234" s="1">
        <v>0.1589737386</v>
      </c>
      <c r="K234" s="1">
        <v>5.4842408750000002E-2</v>
      </c>
      <c r="L234" s="1">
        <v>5.975238234E-2</v>
      </c>
      <c r="M234" s="1"/>
      <c r="N234" s="1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  <c r="BW234" s="17"/>
      <c r="BX234" s="17"/>
      <c r="BY234" s="17"/>
      <c r="BZ234" s="17"/>
      <c r="CA234" s="17"/>
      <c r="CB234" s="17"/>
      <c r="CC234" s="17"/>
      <c r="CD234" s="17"/>
      <c r="CE234" s="17"/>
      <c r="CF234" s="1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</row>
    <row r="235" spans="4:95">
      <c r="D235" s="16">
        <v>613</v>
      </c>
      <c r="E235" s="1">
        <v>0.2522535622</v>
      </c>
      <c r="F235" s="1">
        <v>9.7754225129999997E-2</v>
      </c>
      <c r="G235" s="1">
        <v>0.19501639900000001</v>
      </c>
      <c r="H235" s="1">
        <v>0.3174289763</v>
      </c>
      <c r="I235" s="1">
        <v>0.18927198649999999</v>
      </c>
      <c r="J235" s="1">
        <v>0.1587892622</v>
      </c>
      <c r="K235" s="1">
        <v>5.4333426060000002E-2</v>
      </c>
      <c r="L235" s="1">
        <v>5.9329424050000003E-2</v>
      </c>
      <c r="M235" s="1"/>
      <c r="N235" s="1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  <c r="BW235" s="17"/>
      <c r="BX235" s="17"/>
      <c r="BY235" s="17"/>
      <c r="BZ235" s="17"/>
      <c r="CA235" s="17"/>
      <c r="CB235" s="17"/>
      <c r="CC235" s="17"/>
      <c r="CD235" s="17"/>
      <c r="CE235" s="17"/>
      <c r="CF235" s="1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</row>
    <row r="236" spans="4:95">
      <c r="D236" s="16">
        <v>614</v>
      </c>
      <c r="E236" s="1">
        <v>0.2533752024</v>
      </c>
      <c r="F236" s="1">
        <v>9.8003476859999994E-2</v>
      </c>
      <c r="G236" s="1">
        <v>0.1955255866</v>
      </c>
      <c r="H236" s="1">
        <v>0.31911683079999997</v>
      </c>
      <c r="I236" s="1">
        <v>0.19017605479999999</v>
      </c>
      <c r="J236" s="1">
        <v>0.1584786326</v>
      </c>
      <c r="K236" s="1">
        <v>5.4351646449999999E-2</v>
      </c>
      <c r="L236" s="1">
        <v>5.91485016E-2</v>
      </c>
      <c r="M236" s="1"/>
      <c r="N236" s="1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7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  <c r="CC236" s="17"/>
      <c r="CD236" s="17"/>
      <c r="CE236" s="17"/>
      <c r="CF236" s="1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</row>
    <row r="237" spans="4:95">
      <c r="D237" s="16">
        <v>615</v>
      </c>
      <c r="E237" s="1">
        <v>0.25420734290000002</v>
      </c>
      <c r="F237" s="1">
        <v>9.7800135610000005E-2</v>
      </c>
      <c r="G237" s="1">
        <v>0.19696578379999999</v>
      </c>
      <c r="H237" s="1">
        <v>0.32064539190000002</v>
      </c>
      <c r="I237" s="1">
        <v>0.1902264357</v>
      </c>
      <c r="J237" s="1">
        <v>0.15812799329999999</v>
      </c>
      <c r="K237" s="1">
        <v>5.384663865E-2</v>
      </c>
      <c r="L237" s="1">
        <v>5.8665327730000001E-2</v>
      </c>
      <c r="M237" s="1"/>
      <c r="N237" s="1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7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  <c r="CC237" s="17"/>
      <c r="CD237" s="17"/>
      <c r="CE237" s="17"/>
      <c r="CF237" s="1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</row>
    <row r="238" spans="4:95">
      <c r="D238" s="16">
        <v>616</v>
      </c>
      <c r="E238" s="1">
        <v>0.25554281470000001</v>
      </c>
      <c r="F238" s="1">
        <v>9.8159275949999999E-2</v>
      </c>
      <c r="G238" s="1">
        <v>0.19674046340000001</v>
      </c>
      <c r="H238" s="1">
        <v>0.32246860859999998</v>
      </c>
      <c r="I238" s="1">
        <v>0.19066184759999999</v>
      </c>
      <c r="J238" s="1">
        <v>0.157904923</v>
      </c>
      <c r="K238" s="1">
        <v>5.3808867929999997E-2</v>
      </c>
      <c r="L238" s="1">
        <v>5.872100592E-2</v>
      </c>
      <c r="M238" s="1"/>
      <c r="N238" s="1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7"/>
      <c r="BR238" s="17"/>
      <c r="BS238" s="17"/>
      <c r="BT238" s="17"/>
      <c r="BU238" s="17"/>
      <c r="BV238" s="17"/>
      <c r="BW238" s="17"/>
      <c r="BX238" s="17"/>
      <c r="BY238" s="17"/>
      <c r="BZ238" s="17"/>
      <c r="CA238" s="17"/>
      <c r="CB238" s="17"/>
      <c r="CC238" s="17"/>
      <c r="CD238" s="17"/>
      <c r="CE238" s="17"/>
      <c r="CF238" s="1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</row>
    <row r="239" spans="4:95">
      <c r="D239" s="16">
        <v>617</v>
      </c>
      <c r="E239" s="1">
        <v>0.25656118989999999</v>
      </c>
      <c r="F239" s="1">
        <v>9.8097078500000004E-2</v>
      </c>
      <c r="G239" s="1">
        <v>0.19727173449999999</v>
      </c>
      <c r="H239" s="1">
        <v>0.32395347949999997</v>
      </c>
      <c r="I239" s="1">
        <v>0.19141052659999999</v>
      </c>
      <c r="J239" s="1">
        <v>0.15750031170000001</v>
      </c>
      <c r="K239" s="1">
        <v>5.3666140879999998E-2</v>
      </c>
      <c r="L239" s="1">
        <v>5.8722190559999998E-2</v>
      </c>
      <c r="M239" s="1"/>
      <c r="N239" s="1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  <c r="BW239" s="17"/>
      <c r="BX239" s="17"/>
      <c r="BY239" s="17"/>
      <c r="BZ239" s="17"/>
      <c r="CA239" s="17"/>
      <c r="CB239" s="17"/>
      <c r="CC239" s="17"/>
      <c r="CD239" s="17"/>
      <c r="CE239" s="17"/>
      <c r="CF239" s="1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</row>
    <row r="240" spans="4:95">
      <c r="D240" s="16">
        <v>618</v>
      </c>
      <c r="E240" s="1">
        <v>0.25730597970000002</v>
      </c>
      <c r="F240" s="1">
        <v>9.805632383E-2</v>
      </c>
      <c r="G240" s="1">
        <v>0.1973771453</v>
      </c>
      <c r="H240" s="1">
        <v>0.32589104769999999</v>
      </c>
      <c r="I240" s="1">
        <v>0.1915476173</v>
      </c>
      <c r="J240" s="1">
        <v>0.15721805389999999</v>
      </c>
      <c r="K240" s="1">
        <v>5.3521674130000002E-2</v>
      </c>
      <c r="L240" s="1">
        <v>5.8253724129999997E-2</v>
      </c>
      <c r="M240" s="1"/>
      <c r="N240" s="1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7"/>
      <c r="BR240" s="17"/>
      <c r="BS240" s="17"/>
      <c r="BT240" s="17"/>
      <c r="BU240" s="17"/>
      <c r="BV240" s="17"/>
      <c r="BW240" s="17"/>
      <c r="BX240" s="17"/>
      <c r="BY240" s="17"/>
      <c r="BZ240" s="17"/>
      <c r="CA240" s="17"/>
      <c r="CB240" s="17"/>
      <c r="CC240" s="17"/>
      <c r="CD240" s="17"/>
      <c r="CE240" s="17"/>
      <c r="CF240" s="1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</row>
    <row r="241" spans="4:95">
      <c r="D241" s="16">
        <v>619</v>
      </c>
      <c r="E241" s="1">
        <v>0.25857570769999999</v>
      </c>
      <c r="F241" s="1">
        <v>9.8036207259999994E-2</v>
      </c>
      <c r="G241" s="1">
        <v>0.19785252210000001</v>
      </c>
      <c r="H241" s="1">
        <v>0.32714554670000001</v>
      </c>
      <c r="I241" s="1">
        <v>0.19163437189999999</v>
      </c>
      <c r="J241" s="1">
        <v>0.15696720780000001</v>
      </c>
      <c r="K241" s="1">
        <v>5.3082592790000001E-2</v>
      </c>
      <c r="L241" s="1">
        <v>5.8172713969999998E-2</v>
      </c>
      <c r="M241" s="1"/>
      <c r="N241" s="1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7"/>
      <c r="BR241" s="17"/>
      <c r="BS241" s="17"/>
      <c r="BT241" s="17"/>
      <c r="BU241" s="17"/>
      <c r="BV241" s="17"/>
      <c r="BW241" s="17"/>
      <c r="BX241" s="17"/>
      <c r="BY241" s="17"/>
      <c r="BZ241" s="17"/>
      <c r="CA241" s="17"/>
      <c r="CB241" s="17"/>
      <c r="CC241" s="17"/>
      <c r="CD241" s="17"/>
      <c r="CE241" s="17"/>
      <c r="CF241" s="1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</row>
    <row r="242" spans="4:95">
      <c r="D242" s="16">
        <v>620</v>
      </c>
      <c r="E242" s="1">
        <v>0.2596469522</v>
      </c>
      <c r="F242" s="1">
        <v>9.8319031299999998E-2</v>
      </c>
      <c r="G242" s="1">
        <v>0.19838146870000001</v>
      </c>
      <c r="H242" s="1">
        <v>0.32865950469999999</v>
      </c>
      <c r="I242" s="1">
        <v>0.1923228055</v>
      </c>
      <c r="J242" s="1">
        <v>0.15679490569999999</v>
      </c>
      <c r="K242" s="1">
        <v>5.292539299E-2</v>
      </c>
      <c r="L242" s="1">
        <v>5.7961948219999997E-2</v>
      </c>
      <c r="M242" s="1"/>
      <c r="N242" s="1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7"/>
      <c r="BR242" s="17"/>
      <c r="BS242" s="17"/>
      <c r="BT242" s="17"/>
      <c r="BU242" s="17"/>
      <c r="BV242" s="17"/>
      <c r="BW242" s="17"/>
      <c r="BX242" s="17"/>
      <c r="BY242" s="17"/>
      <c r="BZ242" s="17"/>
      <c r="CA242" s="17"/>
      <c r="CB242" s="17"/>
      <c r="CC242" s="17"/>
      <c r="CD242" s="17"/>
      <c r="CE242" s="17"/>
      <c r="CF242" s="1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</row>
    <row r="243" spans="4:95">
      <c r="D243" s="16">
        <v>621</v>
      </c>
      <c r="E243" s="1">
        <v>0.26017847659999999</v>
      </c>
      <c r="F243" s="1">
        <v>9.8031051460000004E-2</v>
      </c>
      <c r="G243" s="1">
        <v>0.19820301230000001</v>
      </c>
      <c r="H243" s="1">
        <v>0.3299927413</v>
      </c>
      <c r="I243" s="1">
        <v>0.19266700740000001</v>
      </c>
      <c r="J243" s="1">
        <v>0.15608426929999999</v>
      </c>
      <c r="K243" s="1">
        <v>5.2639510479999999E-2</v>
      </c>
      <c r="L243" s="1">
        <v>5.7481184599999999E-2</v>
      </c>
      <c r="M243" s="1"/>
      <c r="N243" s="1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7"/>
      <c r="BR243" s="17"/>
      <c r="BS243" s="17"/>
      <c r="BT243" s="17"/>
      <c r="BU243" s="17"/>
      <c r="BV243" s="17"/>
      <c r="BW243" s="17"/>
      <c r="BX243" s="17"/>
      <c r="BY243" s="17"/>
      <c r="BZ243" s="17"/>
      <c r="CA243" s="17"/>
      <c r="CB243" s="17"/>
      <c r="CC243" s="17"/>
      <c r="CD243" s="17"/>
      <c r="CE243" s="17"/>
      <c r="CF243" s="1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</row>
    <row r="244" spans="4:95">
      <c r="D244" s="16">
        <v>622</v>
      </c>
      <c r="E244" s="1">
        <v>0.26067596669999998</v>
      </c>
      <c r="F244" s="1">
        <v>9.7645886239999993E-2</v>
      </c>
      <c r="G244" s="1">
        <v>0.19793319700000001</v>
      </c>
      <c r="H244" s="1">
        <v>0.33108904960000002</v>
      </c>
      <c r="I244" s="1">
        <v>0.1919219345</v>
      </c>
      <c r="J244" s="1">
        <v>0.15571022030000001</v>
      </c>
      <c r="K244" s="1">
        <v>5.2334897220000003E-2</v>
      </c>
      <c r="L244" s="1">
        <v>5.7324748490000001E-2</v>
      </c>
      <c r="M244" s="1"/>
      <c r="N244" s="1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7"/>
      <c r="BR244" s="17"/>
      <c r="BS244" s="17"/>
      <c r="BT244" s="17"/>
      <c r="BU244" s="17"/>
      <c r="BV244" s="17"/>
      <c r="BW244" s="17"/>
      <c r="BX244" s="17"/>
      <c r="BY244" s="17"/>
      <c r="BZ244" s="17"/>
      <c r="CA244" s="17"/>
      <c r="CB244" s="17"/>
      <c r="CC244" s="17"/>
      <c r="CD244" s="17"/>
      <c r="CE244" s="17"/>
      <c r="CF244" s="1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</row>
    <row r="245" spans="4:95">
      <c r="D245" s="16">
        <v>623</v>
      </c>
      <c r="E245" s="1">
        <v>0.26166287059999999</v>
      </c>
      <c r="F245" s="1">
        <v>9.7916290160000002E-2</v>
      </c>
      <c r="G245" s="1">
        <v>0.19809238609999999</v>
      </c>
      <c r="H245" s="1">
        <v>0.3324134648</v>
      </c>
      <c r="I245" s="1">
        <v>0.19265143570000001</v>
      </c>
      <c r="J245" s="1">
        <v>0.15546108780000001</v>
      </c>
      <c r="K245" s="1">
        <v>5.1979254930000003E-2</v>
      </c>
      <c r="L245" s="1">
        <v>5.7142063979999998E-2</v>
      </c>
      <c r="M245" s="1"/>
      <c r="N245" s="1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</row>
    <row r="246" spans="4:95">
      <c r="D246" s="16">
        <v>624</v>
      </c>
      <c r="E246" s="1">
        <v>0.26194885369999998</v>
      </c>
      <c r="F246" s="1">
        <v>9.7469277679999994E-2</v>
      </c>
      <c r="G246" s="1">
        <v>0.1974432468</v>
      </c>
      <c r="H246" s="1">
        <v>0.33318224549999997</v>
      </c>
      <c r="I246" s="1">
        <v>0.19260941449999999</v>
      </c>
      <c r="J246" s="1">
        <v>0.15509159859999999</v>
      </c>
      <c r="K246" s="1">
        <v>5.1607377830000002E-2</v>
      </c>
      <c r="L246" s="1">
        <v>5.6753259149999999E-2</v>
      </c>
      <c r="M246" s="1"/>
      <c r="N246" s="1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7"/>
      <c r="BR246" s="17"/>
      <c r="BS246" s="17"/>
      <c r="BT246" s="17"/>
      <c r="BU246" s="17"/>
      <c r="BV246" s="17"/>
      <c r="BW246" s="17"/>
      <c r="BX246" s="17"/>
      <c r="BY246" s="17"/>
      <c r="BZ246" s="17"/>
      <c r="CA246" s="17"/>
      <c r="CB246" s="17"/>
      <c r="CC246" s="17"/>
      <c r="CD246" s="17"/>
      <c r="CE246" s="17"/>
      <c r="CF246" s="1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</row>
    <row r="247" spans="4:95">
      <c r="D247" s="16">
        <v>625</v>
      </c>
      <c r="E247" s="1">
        <v>0.26277771589999999</v>
      </c>
      <c r="F247" s="1">
        <v>9.7829610110000007E-2</v>
      </c>
      <c r="G247" s="1">
        <v>0.19783374670000001</v>
      </c>
      <c r="H247" s="1">
        <v>0.33468130229999998</v>
      </c>
      <c r="I247" s="1">
        <v>0.19305473570000001</v>
      </c>
      <c r="J247" s="1">
        <v>0.15471702809999999</v>
      </c>
      <c r="K247" s="1">
        <v>5.1748611030000002E-2</v>
      </c>
      <c r="L247" s="1">
        <v>5.6769631799999998E-2</v>
      </c>
      <c r="M247" s="1"/>
      <c r="N247" s="1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7"/>
      <c r="BR247" s="17"/>
      <c r="BS247" s="17"/>
      <c r="BT247" s="17"/>
      <c r="BU247" s="17"/>
      <c r="BV247" s="17"/>
      <c r="BW247" s="17"/>
      <c r="BX247" s="17"/>
      <c r="BY247" s="17"/>
      <c r="BZ247" s="17"/>
      <c r="CA247" s="17"/>
      <c r="CB247" s="17"/>
      <c r="CC247" s="17"/>
      <c r="CD247" s="17"/>
      <c r="CE247" s="17"/>
      <c r="CF247" s="1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</row>
    <row r="248" spans="4:95">
      <c r="D248" s="16">
        <v>626</v>
      </c>
      <c r="E248" s="1">
        <v>0.26387816670000003</v>
      </c>
      <c r="F248" s="1">
        <v>9.7928516569999999E-2</v>
      </c>
      <c r="G248" s="1">
        <v>0.19860315319999999</v>
      </c>
      <c r="H248" s="1">
        <v>0.33581671120000001</v>
      </c>
      <c r="I248" s="1">
        <v>0.19330027699999999</v>
      </c>
      <c r="J248" s="1">
        <v>0.1544994116</v>
      </c>
      <c r="K248" s="1">
        <v>5.1853168759999999E-2</v>
      </c>
      <c r="L248" s="1">
        <v>5.672066286E-2</v>
      </c>
      <c r="M248" s="1"/>
      <c r="N248" s="1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Q248" s="17"/>
      <c r="BR248" s="17"/>
      <c r="BS248" s="17"/>
      <c r="BT248" s="17"/>
      <c r="BU248" s="17"/>
      <c r="BV248" s="17"/>
      <c r="BW248" s="17"/>
      <c r="BX248" s="17"/>
      <c r="BY248" s="17"/>
      <c r="BZ248" s="17"/>
      <c r="CA248" s="17"/>
      <c r="CB248" s="17"/>
      <c r="CC248" s="17"/>
      <c r="CD248" s="17"/>
      <c r="CE248" s="17"/>
      <c r="CF248" s="1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</row>
    <row r="249" spans="4:95">
      <c r="D249" s="16">
        <v>627</v>
      </c>
      <c r="E249" s="1">
        <v>0.26409915090000002</v>
      </c>
      <c r="F249" s="1">
        <v>9.7488552330000006E-2</v>
      </c>
      <c r="G249" s="1">
        <v>0.19867897030000001</v>
      </c>
      <c r="H249" s="1">
        <v>0.33688926699999999</v>
      </c>
      <c r="I249" s="1">
        <v>0.19341883060000001</v>
      </c>
      <c r="J249" s="1">
        <v>0.1541097313</v>
      </c>
      <c r="K249" s="1">
        <v>5.1361285149999998E-2</v>
      </c>
      <c r="L249" s="1">
        <v>5.6480649860000003E-2</v>
      </c>
      <c r="M249" s="1"/>
      <c r="N249" s="1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7"/>
      <c r="BR249" s="17"/>
      <c r="BS249" s="17"/>
      <c r="BT249" s="17"/>
      <c r="BU249" s="17"/>
      <c r="BV249" s="17"/>
      <c r="BW249" s="17"/>
      <c r="BX249" s="17"/>
      <c r="BY249" s="17"/>
      <c r="BZ249" s="17"/>
      <c r="CA249" s="17"/>
      <c r="CB249" s="17"/>
      <c r="CC249" s="17"/>
      <c r="CD249" s="17"/>
      <c r="CE249" s="17"/>
      <c r="CF249" s="1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</row>
    <row r="250" spans="4:95">
      <c r="D250" s="16">
        <v>628</v>
      </c>
      <c r="E250" s="1">
        <v>0.26449272039999999</v>
      </c>
      <c r="F250" s="1">
        <v>9.7548663620000003E-2</v>
      </c>
      <c r="G250" s="1">
        <v>0.19724430139999999</v>
      </c>
      <c r="H250" s="1">
        <v>0.33777785300000002</v>
      </c>
      <c r="I250" s="1">
        <v>0.19336909059999999</v>
      </c>
      <c r="J250" s="1">
        <v>0.15361453589999999</v>
      </c>
      <c r="K250" s="1">
        <v>5.1108285779999998E-2</v>
      </c>
      <c r="L250" s="1">
        <v>5.6386377660000001E-2</v>
      </c>
      <c r="M250" s="1"/>
      <c r="N250" s="1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Q250" s="17"/>
      <c r="BR250" s="17"/>
      <c r="BS250" s="17"/>
      <c r="BT250" s="17"/>
      <c r="BU250" s="17"/>
      <c r="BV250" s="17"/>
      <c r="BW250" s="17"/>
      <c r="BX250" s="17"/>
      <c r="BY250" s="17"/>
      <c r="BZ250" s="17"/>
      <c r="CA250" s="17"/>
      <c r="CB250" s="17"/>
      <c r="CC250" s="17"/>
      <c r="CD250" s="17"/>
      <c r="CE250" s="17"/>
      <c r="CF250" s="1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</row>
    <row r="251" spans="4:95">
      <c r="D251" s="16">
        <v>629</v>
      </c>
      <c r="E251" s="1">
        <v>0.26487255100000001</v>
      </c>
      <c r="F251" s="1">
        <v>9.7466975450000007E-2</v>
      </c>
      <c r="G251" s="1">
        <v>0.19708773490000001</v>
      </c>
      <c r="H251" s="1">
        <v>0.33905088900000002</v>
      </c>
      <c r="I251" s="1">
        <v>0.19344234469999999</v>
      </c>
      <c r="J251" s="1">
        <v>0.1530950069</v>
      </c>
      <c r="K251" s="1">
        <v>5.0937306139999999E-2</v>
      </c>
      <c r="L251" s="1">
        <v>5.5990122259999997E-2</v>
      </c>
      <c r="M251" s="1"/>
      <c r="N251" s="1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Q251" s="17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  <c r="CC251" s="17"/>
      <c r="CD251" s="17"/>
      <c r="CE251" s="17"/>
      <c r="CF251" s="1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</row>
    <row r="252" spans="4:95">
      <c r="D252" s="16">
        <v>630</v>
      </c>
      <c r="E252" s="1">
        <v>0.26487776639999999</v>
      </c>
      <c r="F252" s="1">
        <v>9.6938870849999997E-2</v>
      </c>
      <c r="G252" s="1">
        <v>0.19715857510000001</v>
      </c>
      <c r="H252" s="1">
        <v>0.33948892349999998</v>
      </c>
      <c r="I252" s="1">
        <v>0.19324780999999999</v>
      </c>
      <c r="J252" s="1">
        <v>0.15258960429999999</v>
      </c>
      <c r="K252" s="1">
        <v>5.042290688E-2</v>
      </c>
      <c r="L252" s="1">
        <v>5.5451679970000001E-2</v>
      </c>
      <c r="M252" s="1"/>
      <c r="N252" s="1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Q252" s="17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  <c r="CC252" s="17"/>
      <c r="CD252" s="17"/>
      <c r="CE252" s="17"/>
      <c r="CF252" s="1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</row>
    <row r="253" spans="4:95">
      <c r="D253" s="16">
        <v>631</v>
      </c>
      <c r="E253" s="1">
        <v>0.2651802003</v>
      </c>
      <c r="F253" s="1">
        <v>9.6943467859999993E-2</v>
      </c>
      <c r="G253" s="1">
        <v>0.1964051127</v>
      </c>
      <c r="H253" s="1">
        <v>0.34056693319999998</v>
      </c>
      <c r="I253" s="1">
        <v>0.1932859868</v>
      </c>
      <c r="J253" s="1">
        <v>0.15232811869999999</v>
      </c>
      <c r="K253" s="1">
        <v>5.0445031369999997E-2</v>
      </c>
      <c r="L253" s="1">
        <v>5.5554453279999999E-2</v>
      </c>
      <c r="M253" s="1"/>
      <c r="N253" s="1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Q253" s="17"/>
      <c r="BR253" s="17"/>
      <c r="BS253" s="17"/>
      <c r="BT253" s="17"/>
      <c r="BU253" s="17"/>
      <c r="BV253" s="17"/>
      <c r="BW253" s="17"/>
      <c r="BX253" s="17"/>
      <c r="BY253" s="17"/>
      <c r="BZ253" s="17"/>
      <c r="CA253" s="17"/>
      <c r="CB253" s="17"/>
      <c r="CC253" s="17"/>
      <c r="CD253" s="17"/>
      <c r="CE253" s="17"/>
      <c r="CF253" s="1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</row>
    <row r="254" spans="4:95">
      <c r="D254" s="16">
        <v>632</v>
      </c>
      <c r="E254" s="1">
        <v>0.26498213409999999</v>
      </c>
      <c r="F254" s="1">
        <v>9.6508860589999995E-2</v>
      </c>
      <c r="G254" s="1">
        <v>0.19594638049999999</v>
      </c>
      <c r="H254" s="1">
        <v>0.34081956740000002</v>
      </c>
      <c r="I254" s="1">
        <v>0.1929943264</v>
      </c>
      <c r="J254" s="1">
        <v>0.15165354310000001</v>
      </c>
      <c r="K254" s="1">
        <v>5.0410434599999998E-2</v>
      </c>
      <c r="L254" s="1">
        <v>5.5041790010000001E-2</v>
      </c>
      <c r="M254" s="1"/>
      <c r="N254" s="1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Q254" s="17"/>
      <c r="BR254" s="17"/>
      <c r="BS254" s="17"/>
      <c r="BT254" s="17"/>
      <c r="BU254" s="17"/>
      <c r="BV254" s="17"/>
      <c r="BW254" s="17"/>
      <c r="BX254" s="17"/>
      <c r="BY254" s="17"/>
      <c r="BZ254" s="17"/>
      <c r="CA254" s="17"/>
      <c r="CB254" s="17"/>
      <c r="CC254" s="17"/>
      <c r="CD254" s="17"/>
      <c r="CE254" s="17"/>
      <c r="CF254" s="1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</row>
    <row r="255" spans="4:95">
      <c r="D255" s="16">
        <v>633</v>
      </c>
      <c r="E255" s="1">
        <v>0.264803648</v>
      </c>
      <c r="F255" s="1">
        <v>9.6212327479999998E-2</v>
      </c>
      <c r="G255" s="1">
        <v>0.1961794198</v>
      </c>
      <c r="H255" s="1">
        <v>0.34154072400000002</v>
      </c>
      <c r="I255" s="1">
        <v>0.1928058416</v>
      </c>
      <c r="J255" s="1">
        <v>0.15103104710000001</v>
      </c>
      <c r="K255" s="1">
        <v>4.9983546140000001E-2</v>
      </c>
      <c r="L255" s="1">
        <v>5.4958995429999997E-2</v>
      </c>
      <c r="M255" s="1"/>
      <c r="N255" s="1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Q255" s="17"/>
      <c r="BR255" s="17"/>
      <c r="BS255" s="17"/>
      <c r="BT255" s="17"/>
      <c r="BU255" s="17"/>
      <c r="BV255" s="17"/>
      <c r="BW255" s="17"/>
      <c r="BX255" s="17"/>
      <c r="BY255" s="17"/>
      <c r="BZ255" s="17"/>
      <c r="CA255" s="17"/>
      <c r="CB255" s="17"/>
      <c r="CC255" s="17"/>
      <c r="CD255" s="17"/>
      <c r="CE255" s="17"/>
      <c r="CF255" s="1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</row>
    <row r="256" spans="4:95">
      <c r="D256" s="16">
        <v>634</v>
      </c>
      <c r="E256" s="1">
        <v>0.26443138719999998</v>
      </c>
      <c r="F256" s="1">
        <v>9.5669381319999997E-2</v>
      </c>
      <c r="G256" s="1">
        <v>0.19634412230000001</v>
      </c>
      <c r="H256" s="1">
        <v>0.34220737220000003</v>
      </c>
      <c r="I256" s="1">
        <v>0.19219622019999999</v>
      </c>
      <c r="J256" s="1">
        <v>0.1505436003</v>
      </c>
      <c r="K256" s="1">
        <v>4.9650315200000003E-2</v>
      </c>
      <c r="L256" s="1">
        <v>5.4559078070000003E-2</v>
      </c>
      <c r="M256" s="1"/>
      <c r="N256" s="1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Q256" s="17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  <c r="CC256" s="17"/>
      <c r="CD256" s="17"/>
      <c r="CE256" s="17"/>
      <c r="CF256" s="1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</row>
    <row r="257" spans="4:95">
      <c r="D257" s="16">
        <v>635</v>
      </c>
      <c r="E257" s="1">
        <v>0.26396599409999999</v>
      </c>
      <c r="F257" s="1">
        <v>9.5248624680000005E-2</v>
      </c>
      <c r="G257" s="1">
        <v>0.19511184100000001</v>
      </c>
      <c r="H257" s="1">
        <v>0.34286510939999998</v>
      </c>
      <c r="I257" s="1">
        <v>0.19204142690000001</v>
      </c>
      <c r="J257" s="1">
        <v>0.1501837969</v>
      </c>
      <c r="K257" s="1">
        <v>4.9210779369999999E-2</v>
      </c>
      <c r="L257" s="1">
        <v>5.4550770669999998E-2</v>
      </c>
      <c r="M257" s="1"/>
      <c r="N257" s="1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7"/>
      <c r="BR257" s="17"/>
      <c r="BS257" s="17"/>
      <c r="BT257" s="17"/>
      <c r="BU257" s="17"/>
      <c r="BV257" s="17"/>
      <c r="BW257" s="17"/>
      <c r="BX257" s="17"/>
      <c r="BY257" s="17"/>
      <c r="BZ257" s="17"/>
      <c r="CA257" s="17"/>
      <c r="CB257" s="17"/>
      <c r="CC257" s="17"/>
      <c r="CD257" s="17"/>
      <c r="CE257" s="17"/>
      <c r="CF257" s="1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</row>
    <row r="258" spans="4:95">
      <c r="D258" s="16">
        <v>636</v>
      </c>
      <c r="E258" s="1">
        <v>0.26338225599999998</v>
      </c>
      <c r="F258" s="1">
        <v>9.5024205740000006E-2</v>
      </c>
      <c r="G258" s="1">
        <v>0.1938121468</v>
      </c>
      <c r="H258" s="1">
        <v>0.34361690280000001</v>
      </c>
      <c r="I258" s="1">
        <v>0.19189245999999999</v>
      </c>
      <c r="J258" s="1">
        <v>0.14977870879999999</v>
      </c>
      <c r="K258" s="1">
        <v>4.9425836649999999E-2</v>
      </c>
      <c r="L258" s="1">
        <v>5.4234050210000002E-2</v>
      </c>
      <c r="M258" s="1"/>
      <c r="N258" s="1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Q258" s="17"/>
      <c r="BR258" s="17"/>
      <c r="BS258" s="17"/>
      <c r="BT258" s="17"/>
      <c r="BU258" s="17"/>
      <c r="BV258" s="17"/>
      <c r="BW258" s="17"/>
      <c r="BX258" s="17"/>
      <c r="BY258" s="17"/>
      <c r="BZ258" s="17"/>
      <c r="CA258" s="17"/>
      <c r="CB258" s="17"/>
      <c r="CC258" s="17"/>
      <c r="CD258" s="17"/>
      <c r="CE258" s="17"/>
      <c r="CF258" s="1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</row>
    <row r="259" spans="4:95">
      <c r="D259" s="16">
        <v>637</v>
      </c>
      <c r="E259" s="1">
        <v>0.262683481</v>
      </c>
      <c r="F259" s="1">
        <v>9.4758041200000004E-2</v>
      </c>
      <c r="G259" s="1">
        <v>0.19353611770000001</v>
      </c>
      <c r="H259" s="1">
        <v>0.34390708800000003</v>
      </c>
      <c r="I259" s="1">
        <v>0.19158311189999999</v>
      </c>
      <c r="J259" s="1">
        <v>0.14952895050000001</v>
      </c>
      <c r="K259" s="1">
        <v>4.9093086270000003E-2</v>
      </c>
      <c r="L259" s="1">
        <v>5.422316864E-2</v>
      </c>
      <c r="M259" s="1"/>
      <c r="N259" s="1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Q259" s="17"/>
      <c r="BR259" s="17"/>
      <c r="BS259" s="17"/>
      <c r="BT259" s="17"/>
      <c r="BU259" s="17"/>
      <c r="BV259" s="17"/>
      <c r="BW259" s="17"/>
      <c r="BX259" s="17"/>
      <c r="BY259" s="17"/>
      <c r="BZ259" s="17"/>
      <c r="CA259" s="17"/>
      <c r="CB259" s="17"/>
      <c r="CC259" s="17"/>
      <c r="CD259" s="17"/>
      <c r="CE259" s="17"/>
      <c r="CF259" s="1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</row>
    <row r="260" spans="4:95">
      <c r="D260" s="16">
        <v>638</v>
      </c>
      <c r="E260" s="1">
        <v>0.26206129789999999</v>
      </c>
      <c r="F260" s="1">
        <v>9.4132862989999996E-2</v>
      </c>
      <c r="G260" s="1">
        <v>0.192764923</v>
      </c>
      <c r="H260" s="1">
        <v>0.34436789159999998</v>
      </c>
      <c r="I260" s="1">
        <v>0.19104431569999999</v>
      </c>
      <c r="J260" s="1">
        <v>0.1485390365</v>
      </c>
      <c r="K260" s="1">
        <v>4.8934083429999997E-2</v>
      </c>
      <c r="L260" s="1">
        <v>5.386832356E-2</v>
      </c>
      <c r="M260" s="1"/>
      <c r="N260" s="1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7"/>
      <c r="BR260" s="17"/>
      <c r="BS260" s="17"/>
      <c r="BT260" s="17"/>
      <c r="BU260" s="17"/>
      <c r="BV260" s="17"/>
      <c r="BW260" s="17"/>
      <c r="BX260" s="17"/>
      <c r="BY260" s="17"/>
      <c r="BZ260" s="17"/>
      <c r="CA260" s="17"/>
      <c r="CB260" s="17"/>
      <c r="CC260" s="17"/>
      <c r="CD260" s="17"/>
      <c r="CE260" s="17"/>
      <c r="CF260" s="1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</row>
    <row r="261" spans="4:95">
      <c r="D261" s="16">
        <v>639</v>
      </c>
      <c r="E261" s="1">
        <v>0.26116061210000002</v>
      </c>
      <c r="F261" s="1">
        <v>9.3958154320000001E-2</v>
      </c>
      <c r="G261" s="1">
        <v>0.19206431509999999</v>
      </c>
      <c r="H261" s="1">
        <v>0.34460601210000003</v>
      </c>
      <c r="I261" s="1">
        <v>0.19062495230000001</v>
      </c>
      <c r="J261" s="1">
        <v>0.14838761089999999</v>
      </c>
      <c r="K261" s="1">
        <v>4.8713997010000003E-2</v>
      </c>
      <c r="L261" s="1">
        <v>5.400730669E-2</v>
      </c>
      <c r="M261" s="1"/>
      <c r="N261" s="1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P261" s="17"/>
      <c r="BQ261" s="17"/>
      <c r="BR261" s="17"/>
      <c r="BS261" s="17"/>
      <c r="BT261" s="17"/>
      <c r="BU261" s="17"/>
      <c r="BV261" s="17"/>
      <c r="BW261" s="17"/>
      <c r="BX261" s="17"/>
      <c r="BY261" s="17"/>
      <c r="BZ261" s="17"/>
      <c r="CA261" s="17"/>
      <c r="CB261" s="17"/>
      <c r="CC261" s="17"/>
      <c r="CD261" s="17"/>
      <c r="CE261" s="17"/>
      <c r="CF261" s="1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</row>
    <row r="262" spans="4:95">
      <c r="D262" s="16">
        <v>640</v>
      </c>
      <c r="E262" s="1">
        <v>0.2601919472</v>
      </c>
      <c r="F262" s="1">
        <v>9.3274019659999999E-2</v>
      </c>
      <c r="G262" s="1">
        <v>0.19133648280000001</v>
      </c>
      <c r="H262" s="1">
        <v>0.34533852339999999</v>
      </c>
      <c r="I262" s="1">
        <v>0.1904598773</v>
      </c>
      <c r="J262" s="1">
        <v>0.1479071528</v>
      </c>
      <c r="K262" s="1">
        <v>4.8676874490000001E-2</v>
      </c>
      <c r="L262" s="1">
        <v>5.3602673109999999E-2</v>
      </c>
      <c r="M262" s="1"/>
      <c r="N262" s="1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P262" s="17"/>
      <c r="BQ262" s="17"/>
      <c r="BR262" s="17"/>
      <c r="BS262" s="17"/>
      <c r="BT262" s="17"/>
      <c r="BU262" s="17"/>
      <c r="BV262" s="17"/>
      <c r="BW262" s="17"/>
      <c r="BX262" s="17"/>
      <c r="BY262" s="17"/>
      <c r="BZ262" s="17"/>
      <c r="CA262" s="17"/>
      <c r="CB262" s="17"/>
      <c r="CC262" s="17"/>
      <c r="CD262" s="17"/>
      <c r="CE262" s="17"/>
      <c r="CF262" s="1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</row>
    <row r="263" spans="4:95">
      <c r="D263" s="16">
        <v>641</v>
      </c>
      <c r="E263" s="1">
        <v>0.25848492979999999</v>
      </c>
      <c r="F263" s="1">
        <v>9.2663310469999996E-2</v>
      </c>
      <c r="G263" s="1">
        <v>0.19005329909999999</v>
      </c>
      <c r="H263" s="1">
        <v>0.34508341549999999</v>
      </c>
      <c r="I263" s="1">
        <v>0.18966874480000001</v>
      </c>
      <c r="J263" s="1">
        <v>0.1471496075</v>
      </c>
      <c r="K263" s="1">
        <v>4.8289876430000003E-2</v>
      </c>
      <c r="L263" s="1">
        <v>5.3249590100000001E-2</v>
      </c>
      <c r="M263" s="1"/>
      <c r="N263" s="1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P263" s="17"/>
      <c r="BQ263" s="17"/>
      <c r="BR263" s="17"/>
      <c r="BS263" s="17"/>
      <c r="BT263" s="17"/>
      <c r="BU263" s="17"/>
      <c r="BV263" s="17"/>
      <c r="BW263" s="17"/>
      <c r="BX263" s="17"/>
      <c r="BY263" s="17"/>
      <c r="BZ263" s="17"/>
      <c r="CA263" s="17"/>
      <c r="CB263" s="17"/>
      <c r="CC263" s="17"/>
      <c r="CD263" s="17"/>
      <c r="CE263" s="17"/>
      <c r="CF263" s="17"/>
      <c r="CG263" s="17"/>
      <c r="CH263" s="17"/>
      <c r="CI263" s="17"/>
      <c r="CJ263" s="17"/>
      <c r="CK263" s="17"/>
      <c r="CL263" s="17"/>
      <c r="CM263" s="17"/>
      <c r="CN263" s="17"/>
      <c r="CO263" s="17"/>
      <c r="CP263" s="17"/>
      <c r="CQ263" s="17"/>
    </row>
    <row r="264" spans="4:95">
      <c r="D264" s="16">
        <v>642</v>
      </c>
      <c r="E264" s="1">
        <v>0.25746423010000002</v>
      </c>
      <c r="F264" s="1">
        <v>9.2232674360000003E-2</v>
      </c>
      <c r="G264" s="1">
        <v>0.18916693330000001</v>
      </c>
      <c r="H264" s="1">
        <v>0.34493738410000002</v>
      </c>
      <c r="I264" s="1">
        <v>0.18907786909999999</v>
      </c>
      <c r="J264" s="1">
        <v>0.1467211843</v>
      </c>
      <c r="K264" s="1">
        <v>4.8044815659999997E-2</v>
      </c>
      <c r="L264" s="1">
        <v>5.335770175E-2</v>
      </c>
      <c r="M264" s="1"/>
      <c r="N264" s="1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P264" s="17"/>
      <c r="BQ264" s="17"/>
      <c r="BR264" s="17"/>
      <c r="BS264" s="17"/>
      <c r="BT264" s="17"/>
      <c r="BU264" s="17"/>
      <c r="BV264" s="17"/>
      <c r="BW264" s="17"/>
      <c r="BX264" s="17"/>
      <c r="BY264" s="17"/>
      <c r="BZ264" s="17"/>
      <c r="CA264" s="17"/>
      <c r="CB264" s="17"/>
      <c r="CC264" s="17"/>
      <c r="CD264" s="17"/>
      <c r="CE264" s="17"/>
      <c r="CF264" s="17"/>
      <c r="CG264" s="17"/>
      <c r="CH264" s="17"/>
      <c r="CI264" s="17"/>
      <c r="CJ264" s="17"/>
      <c r="CK264" s="17"/>
      <c r="CL264" s="17"/>
      <c r="CM264" s="17"/>
      <c r="CN264" s="17"/>
      <c r="CO264" s="17"/>
      <c r="CP264" s="17"/>
      <c r="CQ264" s="17"/>
    </row>
    <row r="265" spans="4:95">
      <c r="D265" s="16">
        <v>643</v>
      </c>
      <c r="E265" s="1">
        <v>0.25624737139999998</v>
      </c>
      <c r="F265" s="1">
        <v>9.1655999419999995E-2</v>
      </c>
      <c r="G265" s="1">
        <v>0.1882673949</v>
      </c>
      <c r="H265" s="1">
        <v>0.34517273310000002</v>
      </c>
      <c r="I265" s="1">
        <v>0.18839646879999999</v>
      </c>
      <c r="J265" s="1">
        <v>0.1460996866</v>
      </c>
      <c r="K265" s="1">
        <v>4.7796834259999997E-2</v>
      </c>
      <c r="L265" s="1">
        <v>5.313006788E-2</v>
      </c>
      <c r="M265" s="1"/>
      <c r="N265" s="1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P265" s="17"/>
      <c r="BQ265" s="17"/>
      <c r="BR265" s="17"/>
      <c r="BS265" s="17"/>
      <c r="BT265" s="17"/>
      <c r="BU265" s="17"/>
      <c r="BV265" s="17"/>
      <c r="BW265" s="17"/>
      <c r="BX265" s="17"/>
      <c r="BY265" s="17"/>
      <c r="BZ265" s="17"/>
      <c r="CA265" s="17"/>
      <c r="CB265" s="17"/>
      <c r="CC265" s="17"/>
      <c r="CD265" s="17"/>
      <c r="CE265" s="17"/>
      <c r="CF265" s="1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</row>
    <row r="266" spans="4:95">
      <c r="D266" s="16">
        <v>644</v>
      </c>
      <c r="E266" s="1">
        <v>0.2540887892</v>
      </c>
      <c r="F266" s="1">
        <v>9.0787775809999999E-2</v>
      </c>
      <c r="G266" s="1">
        <v>0.18721181149999999</v>
      </c>
      <c r="H266" s="1">
        <v>0.3448880017</v>
      </c>
      <c r="I266" s="1">
        <v>0.18755687770000001</v>
      </c>
      <c r="J266" s="1">
        <v>0.14501364529999999</v>
      </c>
      <c r="K266" s="1">
        <v>4.7345399859999998E-2</v>
      </c>
      <c r="L266" s="1">
        <v>5.2594717589999999E-2</v>
      </c>
      <c r="M266" s="1"/>
      <c r="N266" s="1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P266" s="17"/>
      <c r="BQ266" s="17"/>
      <c r="BR266" s="17"/>
      <c r="BS266" s="17"/>
      <c r="BT266" s="17"/>
      <c r="BU266" s="17"/>
      <c r="BV266" s="17"/>
      <c r="BW266" s="17"/>
      <c r="BX266" s="17"/>
      <c r="BY266" s="17"/>
      <c r="BZ266" s="17"/>
      <c r="CA266" s="17"/>
      <c r="CB266" s="17"/>
      <c r="CC266" s="17"/>
      <c r="CD266" s="17"/>
      <c r="CE266" s="17"/>
      <c r="CF266" s="17"/>
      <c r="CG266" s="17"/>
      <c r="CH266" s="17"/>
      <c r="CI266" s="17"/>
      <c r="CJ266" s="17"/>
      <c r="CK266" s="17"/>
      <c r="CL266" s="17"/>
      <c r="CM266" s="17"/>
      <c r="CN266" s="17"/>
      <c r="CO266" s="17"/>
      <c r="CP266" s="17"/>
      <c r="CQ266" s="17"/>
    </row>
    <row r="267" spans="4:95">
      <c r="D267" s="16">
        <v>645</v>
      </c>
      <c r="E267" s="1">
        <v>0.25251784919999998</v>
      </c>
      <c r="F267" s="1">
        <v>9.0158820149999999E-2</v>
      </c>
      <c r="G267" s="1">
        <v>0.1863385588</v>
      </c>
      <c r="H267" s="1">
        <v>0.34507590529999999</v>
      </c>
      <c r="I267" s="1">
        <v>0.18684941529999999</v>
      </c>
      <c r="J267" s="1">
        <v>0.14452148970000001</v>
      </c>
      <c r="K267" s="1">
        <v>4.7307152300000002E-2</v>
      </c>
      <c r="L267" s="1">
        <v>5.2722714839999997E-2</v>
      </c>
      <c r="M267" s="1"/>
      <c r="N267" s="1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P267" s="17"/>
      <c r="BQ267" s="17"/>
      <c r="BR267" s="17"/>
      <c r="BS267" s="17"/>
      <c r="BT267" s="17"/>
      <c r="BU267" s="17"/>
      <c r="BV267" s="17"/>
      <c r="BW267" s="17"/>
      <c r="BX267" s="17"/>
      <c r="BY267" s="17"/>
      <c r="BZ267" s="17"/>
      <c r="CA267" s="17"/>
      <c r="CB267" s="17"/>
      <c r="CC267" s="17"/>
      <c r="CD267" s="17"/>
      <c r="CE267" s="17"/>
      <c r="CF267" s="17"/>
      <c r="CG267" s="17"/>
      <c r="CH267" s="17"/>
      <c r="CI267" s="17"/>
      <c r="CJ267" s="17"/>
      <c r="CK267" s="17"/>
      <c r="CL267" s="17"/>
      <c r="CM267" s="17"/>
      <c r="CN267" s="17"/>
      <c r="CO267" s="17"/>
      <c r="CP267" s="17"/>
      <c r="CQ267" s="17"/>
    </row>
    <row r="268" spans="4:95">
      <c r="D268" s="16">
        <v>646</v>
      </c>
      <c r="E268" s="1">
        <v>0.2510711551</v>
      </c>
      <c r="F268" s="1">
        <v>8.944438398E-2</v>
      </c>
      <c r="G268" s="1">
        <v>0.18549127879999999</v>
      </c>
      <c r="H268" s="1">
        <v>0.34432432060000001</v>
      </c>
      <c r="I268" s="1">
        <v>0.18616828320000001</v>
      </c>
      <c r="J268" s="1">
        <v>0.14373289049999999</v>
      </c>
      <c r="K268" s="1">
        <v>4.6939421449999998E-2</v>
      </c>
      <c r="L268" s="1">
        <v>5.2437901500000002E-2</v>
      </c>
      <c r="M268" s="1"/>
      <c r="N268" s="1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P268" s="17"/>
      <c r="BQ268" s="17"/>
      <c r="BR268" s="17"/>
      <c r="BS268" s="17"/>
      <c r="BT268" s="17"/>
      <c r="BU268" s="17"/>
      <c r="BV268" s="17"/>
      <c r="BW268" s="17"/>
      <c r="BX268" s="17"/>
      <c r="BY268" s="17"/>
      <c r="BZ268" s="17"/>
      <c r="CA268" s="17"/>
      <c r="CB268" s="17"/>
      <c r="CC268" s="17"/>
      <c r="CD268" s="17"/>
      <c r="CE268" s="17"/>
      <c r="CF268" s="17"/>
      <c r="CG268" s="17"/>
      <c r="CH268" s="17"/>
      <c r="CI268" s="17"/>
      <c r="CJ268" s="17"/>
      <c r="CK268" s="17"/>
      <c r="CL268" s="17"/>
      <c r="CM268" s="17"/>
      <c r="CN268" s="17"/>
      <c r="CO268" s="17"/>
      <c r="CP268" s="17"/>
      <c r="CQ268" s="17"/>
    </row>
    <row r="269" spans="4:95">
      <c r="D269" s="16">
        <v>647</v>
      </c>
      <c r="E269" s="1">
        <v>0.248961553</v>
      </c>
      <c r="F269" s="1">
        <v>8.8854745030000001E-2</v>
      </c>
      <c r="G269" s="1">
        <v>0.18370252849999999</v>
      </c>
      <c r="H269" s="1">
        <v>0.34414121510000001</v>
      </c>
      <c r="I269" s="1">
        <v>0.18485957380000001</v>
      </c>
      <c r="J269" s="1">
        <v>0.14282257849999999</v>
      </c>
      <c r="K269" s="1">
        <v>4.6473782509999999E-2</v>
      </c>
      <c r="L269" s="1">
        <v>5.1917724310000003E-2</v>
      </c>
      <c r="M269" s="1"/>
      <c r="N269" s="1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P269" s="17"/>
      <c r="BQ269" s="17"/>
      <c r="BR269" s="17"/>
      <c r="BS269" s="17"/>
      <c r="BT269" s="17"/>
      <c r="BU269" s="17"/>
      <c r="BV269" s="17"/>
      <c r="BW269" s="17"/>
      <c r="BX269" s="17"/>
      <c r="BY269" s="17"/>
      <c r="BZ269" s="17"/>
      <c r="CA269" s="17"/>
      <c r="CB269" s="17"/>
      <c r="CC269" s="17"/>
      <c r="CD269" s="17"/>
      <c r="CE269" s="17"/>
      <c r="CF269" s="17"/>
      <c r="CG269" s="17"/>
      <c r="CH269" s="17"/>
      <c r="CI269" s="17"/>
      <c r="CJ269" s="17"/>
      <c r="CK269" s="17"/>
      <c r="CL269" s="17"/>
      <c r="CM269" s="17"/>
      <c r="CN269" s="17"/>
      <c r="CO269" s="17"/>
      <c r="CP269" s="17"/>
      <c r="CQ269" s="17"/>
    </row>
    <row r="270" spans="4:95">
      <c r="D270" s="16">
        <v>648</v>
      </c>
      <c r="E270" s="1">
        <v>0.24692818520000001</v>
      </c>
      <c r="F270" s="1">
        <v>8.8500671089999997E-2</v>
      </c>
      <c r="G270" s="1">
        <v>0.18327790499999999</v>
      </c>
      <c r="H270" s="1">
        <v>0.34376588460000002</v>
      </c>
      <c r="I270" s="1">
        <v>0.1840188056</v>
      </c>
      <c r="J270" s="1">
        <v>0.1423205733</v>
      </c>
      <c r="K270" s="1">
        <v>4.6406745909999998E-2</v>
      </c>
      <c r="L270" s="1">
        <v>5.1772613080000002E-2</v>
      </c>
      <c r="M270" s="1"/>
      <c r="N270" s="1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P270" s="17"/>
      <c r="BQ270" s="17"/>
      <c r="BR270" s="17"/>
      <c r="BS270" s="17"/>
      <c r="BT270" s="17"/>
      <c r="BU270" s="17"/>
      <c r="BV270" s="17"/>
      <c r="BW270" s="17"/>
      <c r="BX270" s="17"/>
      <c r="BY270" s="17"/>
      <c r="BZ270" s="17"/>
      <c r="CA270" s="17"/>
      <c r="CB270" s="17"/>
      <c r="CC270" s="17"/>
      <c r="CD270" s="17"/>
      <c r="CE270" s="17"/>
      <c r="CF270" s="17"/>
      <c r="CG270" s="17"/>
      <c r="CH270" s="17"/>
      <c r="CI270" s="17"/>
      <c r="CJ270" s="17"/>
      <c r="CK270" s="17"/>
      <c r="CL270" s="17"/>
      <c r="CM270" s="17"/>
      <c r="CN270" s="17"/>
      <c r="CO270" s="17"/>
      <c r="CP270" s="17"/>
      <c r="CQ270" s="17"/>
    </row>
    <row r="271" spans="4:95">
      <c r="D271" s="16">
        <v>649</v>
      </c>
      <c r="E271" s="1">
        <v>0.2451209426</v>
      </c>
      <c r="F271" s="1">
        <v>8.7589576840000002E-2</v>
      </c>
      <c r="G271" s="1">
        <v>0.181880191</v>
      </c>
      <c r="H271" s="1">
        <v>0.34356606010000001</v>
      </c>
      <c r="I271" s="1">
        <v>0.1832793653</v>
      </c>
      <c r="J271" s="1">
        <v>0.14169783890000001</v>
      </c>
      <c r="K271" s="1">
        <v>4.6117898079999997E-2</v>
      </c>
      <c r="L271" s="1">
        <v>5.1553070550000003E-2</v>
      </c>
      <c r="M271" s="1"/>
      <c r="N271" s="1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P271" s="17"/>
      <c r="BQ271" s="17"/>
      <c r="BR271" s="17"/>
      <c r="BS271" s="17"/>
      <c r="BT271" s="17"/>
      <c r="BU271" s="17"/>
      <c r="BV271" s="17"/>
      <c r="BW271" s="17"/>
      <c r="BX271" s="17"/>
      <c r="BY271" s="17"/>
      <c r="BZ271" s="17"/>
      <c r="CA271" s="17"/>
      <c r="CB271" s="17"/>
      <c r="CC271" s="17"/>
      <c r="CD271" s="17"/>
      <c r="CE271" s="17"/>
      <c r="CF271" s="17"/>
      <c r="CG271" s="17"/>
      <c r="CH271" s="17"/>
      <c r="CI271" s="17"/>
      <c r="CJ271" s="17"/>
      <c r="CK271" s="17"/>
      <c r="CL271" s="17"/>
      <c r="CM271" s="17"/>
      <c r="CN271" s="17"/>
      <c r="CO271" s="17"/>
      <c r="CP271" s="17"/>
      <c r="CQ271" s="17"/>
    </row>
    <row r="272" spans="4:95">
      <c r="D272" s="16">
        <v>650</v>
      </c>
      <c r="E272" s="1">
        <v>0.24337455629999999</v>
      </c>
      <c r="F272" s="1">
        <v>8.7228588760000003E-2</v>
      </c>
      <c r="G272" s="1">
        <v>0.18164104219999999</v>
      </c>
      <c r="H272" s="1">
        <v>0.3430522084</v>
      </c>
      <c r="I272" s="1">
        <v>0.18260428309999999</v>
      </c>
      <c r="J272" s="1">
        <v>0.14104814830000001</v>
      </c>
      <c r="K272" s="1">
        <v>4.6374052759999999E-2</v>
      </c>
      <c r="L272" s="1">
        <v>5.1854278890000001E-2</v>
      </c>
      <c r="M272" s="1"/>
      <c r="N272" s="1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P272" s="17"/>
      <c r="BQ272" s="17"/>
      <c r="BR272" s="17"/>
      <c r="BS272" s="17"/>
      <c r="BT272" s="17"/>
      <c r="BU272" s="17"/>
      <c r="BV272" s="17"/>
      <c r="BW272" s="17"/>
      <c r="BX272" s="17"/>
      <c r="BY272" s="17"/>
      <c r="BZ272" s="17"/>
      <c r="CA272" s="17"/>
      <c r="CB272" s="17"/>
      <c r="CC272" s="17"/>
      <c r="CD272" s="17"/>
      <c r="CE272" s="17"/>
      <c r="CF272" s="17"/>
      <c r="CG272" s="17"/>
      <c r="CH272" s="17"/>
      <c r="CI272" s="17"/>
      <c r="CJ272" s="17"/>
      <c r="CK272" s="17"/>
      <c r="CL272" s="17"/>
      <c r="CM272" s="17"/>
      <c r="CN272" s="17"/>
      <c r="CO272" s="17"/>
      <c r="CP272" s="17"/>
      <c r="CQ272" s="17"/>
    </row>
    <row r="273" spans="4:95">
      <c r="D273" s="16">
        <v>651</v>
      </c>
      <c r="E273" s="1">
        <v>0.2413936555</v>
      </c>
      <c r="F273" s="1">
        <v>8.6453489960000005E-2</v>
      </c>
      <c r="G273" s="1">
        <v>0.1799309999</v>
      </c>
      <c r="H273" s="1">
        <v>0.34196594359999999</v>
      </c>
      <c r="I273" s="1">
        <v>0.18113498389999999</v>
      </c>
      <c r="J273" s="1">
        <v>0.14014586809999999</v>
      </c>
      <c r="K273" s="1">
        <v>4.5681633059999997E-2</v>
      </c>
      <c r="L273" s="1">
        <v>5.1441416140000001E-2</v>
      </c>
      <c r="M273" s="1"/>
      <c r="N273" s="1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P273" s="17"/>
      <c r="BQ273" s="17"/>
      <c r="BR273" s="17"/>
      <c r="BS273" s="17"/>
      <c r="BT273" s="17"/>
      <c r="BU273" s="17"/>
      <c r="BV273" s="17"/>
      <c r="BW273" s="17"/>
      <c r="BX273" s="17"/>
      <c r="BY273" s="17"/>
      <c r="BZ273" s="17"/>
      <c r="CA273" s="17"/>
      <c r="CB273" s="17"/>
      <c r="CC273" s="17"/>
      <c r="CD273" s="17"/>
      <c r="CE273" s="17"/>
      <c r="CF273" s="17"/>
      <c r="CG273" s="17"/>
      <c r="CH273" s="17"/>
      <c r="CI273" s="17"/>
      <c r="CJ273" s="17"/>
      <c r="CK273" s="17"/>
      <c r="CL273" s="17"/>
      <c r="CM273" s="17"/>
      <c r="CN273" s="17"/>
      <c r="CO273" s="17"/>
      <c r="CP273" s="17"/>
      <c r="CQ273" s="17"/>
    </row>
    <row r="274" spans="4:95">
      <c r="D274" s="16">
        <v>652</v>
      </c>
      <c r="E274" s="1">
        <v>0.23985113199999999</v>
      </c>
      <c r="F274" s="1">
        <v>8.6227320129999993E-2</v>
      </c>
      <c r="G274" s="1">
        <v>0.1791445166</v>
      </c>
      <c r="H274" s="1">
        <v>0.34148237110000002</v>
      </c>
      <c r="I274" s="1">
        <v>0.18073052170000001</v>
      </c>
      <c r="J274" s="1">
        <v>0.1399464309</v>
      </c>
      <c r="K274" s="1">
        <v>4.5768979940000003E-2</v>
      </c>
      <c r="L274" s="1">
        <v>5.1675599070000001E-2</v>
      </c>
      <c r="M274" s="1"/>
      <c r="N274" s="1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  <c r="BW274" s="17"/>
      <c r="BX274" s="17"/>
      <c r="BY274" s="17"/>
      <c r="BZ274" s="17"/>
      <c r="CA274" s="17"/>
      <c r="CB274" s="17"/>
      <c r="CC274" s="17"/>
      <c r="CD274" s="17"/>
      <c r="CE274" s="17"/>
      <c r="CF274" s="17"/>
      <c r="CG274" s="17"/>
      <c r="CH274" s="17"/>
      <c r="CI274" s="17"/>
      <c r="CJ274" s="17"/>
      <c r="CK274" s="17"/>
      <c r="CL274" s="17"/>
      <c r="CM274" s="17"/>
      <c r="CN274" s="17"/>
      <c r="CO274" s="17"/>
      <c r="CP274" s="17"/>
      <c r="CQ274" s="17"/>
    </row>
    <row r="275" spans="4:95">
      <c r="D275" s="16">
        <v>653</v>
      </c>
      <c r="E275" s="1">
        <v>0.23743282260000001</v>
      </c>
      <c r="F275" s="1">
        <v>8.5560254749999995E-2</v>
      </c>
      <c r="G275" s="1">
        <v>0.17770335079999999</v>
      </c>
      <c r="H275" s="1">
        <v>0.34072959419999999</v>
      </c>
      <c r="I275" s="1">
        <v>0.17970459159999999</v>
      </c>
      <c r="J275" s="1">
        <v>0.13879108430000001</v>
      </c>
      <c r="K275" s="1">
        <v>4.5722153039999998E-2</v>
      </c>
      <c r="L275" s="1">
        <v>5.1235467200000002E-2</v>
      </c>
      <c r="M275" s="1"/>
      <c r="N275" s="1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P275" s="17"/>
      <c r="BQ275" s="17"/>
      <c r="BR275" s="17"/>
      <c r="BS275" s="17"/>
      <c r="BT275" s="17"/>
      <c r="BU275" s="17"/>
      <c r="BV275" s="17"/>
      <c r="BW275" s="17"/>
      <c r="BX275" s="17"/>
      <c r="BY275" s="17"/>
      <c r="BZ275" s="17"/>
      <c r="CA275" s="17"/>
      <c r="CB275" s="17"/>
      <c r="CC275" s="17"/>
      <c r="CD275" s="17"/>
      <c r="CE275" s="17"/>
      <c r="CF275" s="17"/>
      <c r="CG275" s="17"/>
      <c r="CH275" s="17"/>
      <c r="CI275" s="17"/>
      <c r="CJ275" s="17"/>
      <c r="CK275" s="17"/>
      <c r="CL275" s="17"/>
      <c r="CM275" s="17"/>
      <c r="CN275" s="17"/>
      <c r="CO275" s="17"/>
      <c r="CP275" s="17"/>
      <c r="CQ275" s="17"/>
    </row>
    <row r="276" spans="4:95">
      <c r="D276" s="16">
        <v>654</v>
      </c>
      <c r="E276" s="1">
        <v>0.23528720440000001</v>
      </c>
      <c r="F276" s="1">
        <v>8.4624379870000002E-2</v>
      </c>
      <c r="G276" s="1">
        <v>0.1763463914</v>
      </c>
      <c r="H276" s="1">
        <v>0.33953300120000002</v>
      </c>
      <c r="I276" s="1">
        <v>0.17837971450000001</v>
      </c>
      <c r="J276" s="1">
        <v>0.1380363554</v>
      </c>
      <c r="K276" s="1">
        <v>4.5377891509999997E-2</v>
      </c>
      <c r="L276" s="1">
        <v>5.0797466190000001E-2</v>
      </c>
      <c r="M276" s="1"/>
      <c r="N276" s="1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P276" s="17"/>
      <c r="BQ276" s="17"/>
      <c r="BR276" s="17"/>
      <c r="BS276" s="17"/>
      <c r="BT276" s="17"/>
      <c r="BU276" s="17"/>
      <c r="BV276" s="17"/>
      <c r="BW276" s="17"/>
      <c r="BX276" s="17"/>
      <c r="BY276" s="17"/>
      <c r="BZ276" s="17"/>
      <c r="CA276" s="17"/>
      <c r="CB276" s="17"/>
      <c r="CC276" s="17"/>
      <c r="CD276" s="17"/>
      <c r="CE276" s="17"/>
      <c r="CF276" s="17"/>
      <c r="CG276" s="17"/>
      <c r="CH276" s="17"/>
      <c r="CI276" s="17"/>
      <c r="CJ276" s="17"/>
      <c r="CK276" s="17"/>
      <c r="CL276" s="17"/>
      <c r="CM276" s="17"/>
      <c r="CN276" s="17"/>
      <c r="CO276" s="17"/>
      <c r="CP276" s="17"/>
      <c r="CQ276" s="17"/>
    </row>
    <row r="277" spans="4:95">
      <c r="D277" s="16">
        <v>655</v>
      </c>
      <c r="E277" s="1">
        <v>0.2332476228</v>
      </c>
      <c r="F277" s="1">
        <v>8.4448330099999996E-2</v>
      </c>
      <c r="G277" s="1">
        <v>0.17545239630000001</v>
      </c>
      <c r="H277" s="1">
        <v>0.33835867050000001</v>
      </c>
      <c r="I277" s="1">
        <v>0.177037999</v>
      </c>
      <c r="J277" s="1">
        <v>0.13721773030000001</v>
      </c>
      <c r="K277" s="1">
        <v>4.4984746720000003E-2</v>
      </c>
      <c r="L277" s="1">
        <v>5.0481665879999998E-2</v>
      </c>
      <c r="M277" s="1"/>
      <c r="N277" s="1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P277" s="17"/>
      <c r="BQ277" s="17"/>
      <c r="BR277" s="17"/>
      <c r="BS277" s="17"/>
      <c r="BT277" s="17"/>
      <c r="BU277" s="17"/>
      <c r="BV277" s="17"/>
      <c r="BW277" s="17"/>
      <c r="BX277" s="17"/>
      <c r="BY277" s="17"/>
      <c r="BZ277" s="17"/>
      <c r="CA277" s="17"/>
      <c r="CB277" s="17"/>
      <c r="CC277" s="17"/>
      <c r="CD277" s="17"/>
      <c r="CE277" s="17"/>
      <c r="CF277" s="17"/>
      <c r="CG277" s="17"/>
      <c r="CH277" s="17"/>
      <c r="CI277" s="17"/>
      <c r="CJ277" s="17"/>
      <c r="CK277" s="17"/>
      <c r="CL277" s="17"/>
      <c r="CM277" s="17"/>
      <c r="CN277" s="17"/>
      <c r="CO277" s="17"/>
      <c r="CP277" s="17"/>
      <c r="CQ277" s="17"/>
    </row>
    <row r="278" spans="4:95">
      <c r="D278" s="16">
        <v>656</v>
      </c>
      <c r="E278" s="1">
        <v>0.23043353859999999</v>
      </c>
      <c r="F278" s="1">
        <v>8.380461484E-2</v>
      </c>
      <c r="G278" s="1">
        <v>0.17449818550000001</v>
      </c>
      <c r="H278" s="1">
        <v>0.33705905079999998</v>
      </c>
      <c r="I278" s="1">
        <v>0.17595024409999999</v>
      </c>
      <c r="J278" s="1">
        <v>0.13650745149999999</v>
      </c>
      <c r="K278" s="1">
        <v>4.4913835819999998E-2</v>
      </c>
      <c r="L278" s="1">
        <v>5.0518654289999999E-2</v>
      </c>
      <c r="M278" s="1"/>
      <c r="N278" s="1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P278" s="17"/>
      <c r="BQ278" s="17"/>
      <c r="BR278" s="17"/>
      <c r="BS278" s="17"/>
      <c r="BT278" s="17"/>
      <c r="BU278" s="17"/>
      <c r="BV278" s="17"/>
      <c r="BW278" s="17"/>
      <c r="BX278" s="17"/>
      <c r="BY278" s="17"/>
      <c r="BZ278" s="17"/>
      <c r="CA278" s="17"/>
      <c r="CB278" s="17"/>
      <c r="CC278" s="17"/>
      <c r="CD278" s="17"/>
      <c r="CE278" s="17"/>
      <c r="CF278" s="17"/>
      <c r="CG278" s="17"/>
      <c r="CH278" s="17"/>
      <c r="CI278" s="17"/>
      <c r="CJ278" s="17"/>
      <c r="CK278" s="17"/>
      <c r="CL278" s="17"/>
      <c r="CM278" s="17"/>
      <c r="CN278" s="17"/>
      <c r="CO278" s="17"/>
      <c r="CP278" s="17"/>
      <c r="CQ278" s="17"/>
    </row>
    <row r="279" spans="4:95">
      <c r="D279" s="16">
        <v>657</v>
      </c>
      <c r="E279" s="1">
        <v>0.22839975360000001</v>
      </c>
      <c r="F279" s="1">
        <v>8.3359748129999994E-2</v>
      </c>
      <c r="G279" s="1">
        <v>0.1741031408</v>
      </c>
      <c r="H279" s="1">
        <v>0.33591440319999999</v>
      </c>
      <c r="I279" s="1">
        <v>0.17465713620000001</v>
      </c>
      <c r="J279" s="1">
        <v>0.13550968469999999</v>
      </c>
      <c r="K279" s="1">
        <v>4.4951327149999998E-2</v>
      </c>
      <c r="L279" s="1">
        <v>5.0301428879999999E-2</v>
      </c>
      <c r="M279" s="1"/>
      <c r="N279" s="1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  <c r="BI279" s="17"/>
      <c r="BJ279" s="17"/>
      <c r="BK279" s="17"/>
      <c r="BL279" s="17"/>
      <c r="BM279" s="17"/>
      <c r="BN279" s="17"/>
      <c r="BO279" s="17"/>
      <c r="BP279" s="17"/>
      <c r="BQ279" s="17"/>
      <c r="BR279" s="17"/>
      <c r="BS279" s="17"/>
      <c r="BT279" s="17"/>
      <c r="BU279" s="17"/>
      <c r="BV279" s="17"/>
      <c r="BW279" s="17"/>
      <c r="BX279" s="17"/>
      <c r="BY279" s="17"/>
      <c r="BZ279" s="17"/>
      <c r="CA279" s="17"/>
      <c r="CB279" s="17"/>
      <c r="CC279" s="17"/>
      <c r="CD279" s="17"/>
      <c r="CE279" s="17"/>
      <c r="CF279" s="17"/>
      <c r="CG279" s="17"/>
      <c r="CH279" s="17"/>
      <c r="CI279" s="17"/>
      <c r="CJ279" s="17"/>
      <c r="CK279" s="17"/>
      <c r="CL279" s="17"/>
      <c r="CM279" s="17"/>
      <c r="CN279" s="17"/>
      <c r="CO279" s="17"/>
      <c r="CP279" s="17"/>
      <c r="CQ279" s="17"/>
    </row>
    <row r="280" spans="4:95">
      <c r="D280" s="16">
        <v>658</v>
      </c>
      <c r="E280" s="1">
        <v>0.22632092240000001</v>
      </c>
      <c r="F280" s="1">
        <v>8.2679726179999996E-2</v>
      </c>
      <c r="G280" s="1">
        <v>0.172867462</v>
      </c>
      <c r="H280" s="1">
        <v>0.33480966089999997</v>
      </c>
      <c r="I280" s="1">
        <v>0.17379839720000001</v>
      </c>
      <c r="J280" s="1">
        <v>0.13463079929999999</v>
      </c>
      <c r="K280" s="1">
        <v>4.4822845610000002E-2</v>
      </c>
      <c r="L280" s="1">
        <v>5.012733489E-2</v>
      </c>
      <c r="M280" s="1"/>
      <c r="N280" s="1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  <c r="BI280" s="17"/>
      <c r="BJ280" s="17"/>
      <c r="BK280" s="17"/>
      <c r="BL280" s="17"/>
      <c r="BM280" s="17"/>
      <c r="BN280" s="17"/>
      <c r="BO280" s="17"/>
      <c r="BP280" s="17"/>
      <c r="BQ280" s="17"/>
      <c r="BR280" s="17"/>
      <c r="BS280" s="17"/>
      <c r="BT280" s="17"/>
      <c r="BU280" s="17"/>
      <c r="BV280" s="17"/>
      <c r="BW280" s="17"/>
      <c r="BX280" s="17"/>
      <c r="BY280" s="17"/>
      <c r="BZ280" s="17"/>
      <c r="CA280" s="17"/>
      <c r="CB280" s="17"/>
      <c r="CC280" s="17"/>
      <c r="CD280" s="17"/>
      <c r="CE280" s="17"/>
      <c r="CF280" s="17"/>
      <c r="CG280" s="17"/>
      <c r="CH280" s="17"/>
      <c r="CI280" s="17"/>
      <c r="CJ280" s="17"/>
      <c r="CK280" s="17"/>
      <c r="CL280" s="17"/>
      <c r="CM280" s="17"/>
      <c r="CN280" s="17"/>
      <c r="CO280" s="17"/>
      <c r="CP280" s="17"/>
      <c r="CQ280" s="17"/>
    </row>
    <row r="281" spans="4:95">
      <c r="D281" s="16">
        <v>659</v>
      </c>
      <c r="E281" s="1">
        <v>0.22371684010000001</v>
      </c>
      <c r="F281" s="1">
        <v>8.1931553779999999E-2</v>
      </c>
      <c r="G281" s="1">
        <v>0.17284107209999999</v>
      </c>
      <c r="H281" s="1">
        <v>0.33317291739999999</v>
      </c>
      <c r="I281" s="1">
        <v>0.17211739719999999</v>
      </c>
      <c r="J281" s="1">
        <v>0.1334827989</v>
      </c>
      <c r="K281" s="1">
        <v>4.4322084640000002E-2</v>
      </c>
      <c r="L281" s="1">
        <v>4.9882255489999999E-2</v>
      </c>
      <c r="M281" s="1"/>
      <c r="N281" s="1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  <c r="BI281" s="17"/>
      <c r="BJ281" s="17"/>
      <c r="BK281" s="17"/>
      <c r="BL281" s="17"/>
      <c r="BM281" s="17"/>
      <c r="BN281" s="17"/>
      <c r="BO281" s="17"/>
      <c r="BP281" s="17"/>
      <c r="BQ281" s="17"/>
      <c r="BR281" s="17"/>
      <c r="BS281" s="17"/>
      <c r="BT281" s="17"/>
      <c r="BU281" s="17"/>
      <c r="BV281" s="17"/>
      <c r="BW281" s="17"/>
      <c r="BX281" s="17"/>
      <c r="BY281" s="17"/>
      <c r="BZ281" s="17"/>
      <c r="CA281" s="17"/>
      <c r="CB281" s="17"/>
      <c r="CC281" s="17"/>
      <c r="CD281" s="17"/>
      <c r="CE281" s="17"/>
      <c r="CF281" s="17"/>
      <c r="CG281" s="17"/>
      <c r="CH281" s="17"/>
      <c r="CI281" s="17"/>
      <c r="CJ281" s="17"/>
      <c r="CK281" s="17"/>
      <c r="CL281" s="17"/>
      <c r="CM281" s="17"/>
      <c r="CN281" s="17"/>
      <c r="CO281" s="17"/>
      <c r="CP281" s="17"/>
      <c r="CQ281" s="17"/>
    </row>
    <row r="282" spans="4:95">
      <c r="D282" s="16">
        <v>660</v>
      </c>
      <c r="E282" s="1">
        <v>0.2215320915</v>
      </c>
      <c r="F282" s="1">
        <v>8.1128366290000004E-2</v>
      </c>
      <c r="G282" s="1">
        <v>0.17199191450000001</v>
      </c>
      <c r="H282" s="1">
        <v>0.33128342030000002</v>
      </c>
      <c r="I282" s="1">
        <v>0.1707242578</v>
      </c>
      <c r="J282" s="1">
        <v>0.1328087151</v>
      </c>
      <c r="K282" s="1">
        <v>4.4043067839999998E-2</v>
      </c>
      <c r="L282" s="1">
        <v>4.978615418E-2</v>
      </c>
      <c r="M282" s="1"/>
      <c r="N282" s="1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  <c r="BI282" s="17"/>
      <c r="BJ282" s="17"/>
      <c r="BK282" s="17"/>
      <c r="BL282" s="17"/>
      <c r="BM282" s="17"/>
      <c r="BN282" s="17"/>
      <c r="BO282" s="17"/>
      <c r="BP282" s="17"/>
      <c r="BQ282" s="17"/>
      <c r="BR282" s="17"/>
      <c r="BS282" s="17"/>
      <c r="BT282" s="17"/>
      <c r="BU282" s="17"/>
      <c r="BV282" s="17"/>
      <c r="BW282" s="17"/>
      <c r="BX282" s="17"/>
      <c r="BY282" s="17"/>
      <c r="BZ282" s="17"/>
      <c r="CA282" s="17"/>
      <c r="CB282" s="17"/>
      <c r="CC282" s="17"/>
      <c r="CD282" s="17"/>
      <c r="CE282" s="17"/>
      <c r="CF282" s="17"/>
      <c r="CG282" s="17"/>
      <c r="CH282" s="17"/>
      <c r="CI282" s="17"/>
      <c r="CJ282" s="17"/>
      <c r="CK282" s="17"/>
      <c r="CL282" s="17"/>
      <c r="CM282" s="17"/>
      <c r="CN282" s="17"/>
      <c r="CO282" s="17"/>
      <c r="CP282" s="17"/>
      <c r="CQ282" s="17"/>
    </row>
    <row r="283" spans="4:95">
      <c r="D283" s="16">
        <v>661</v>
      </c>
      <c r="E283" s="1">
        <v>0.2195379287</v>
      </c>
      <c r="F283" s="1">
        <v>8.1254385410000005E-2</v>
      </c>
      <c r="G283" s="1">
        <v>0.16962906720000001</v>
      </c>
      <c r="H283" s="1">
        <v>0.33019328120000002</v>
      </c>
      <c r="I283" s="1">
        <v>0.1697151959</v>
      </c>
      <c r="J283" s="1">
        <v>0.13217222689999999</v>
      </c>
      <c r="K283" s="1">
        <v>4.4063411650000002E-2</v>
      </c>
      <c r="L283" s="1">
        <v>4.9773380159999998E-2</v>
      </c>
      <c r="M283" s="1"/>
      <c r="N283" s="1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7"/>
      <c r="CC283" s="17"/>
      <c r="CD283" s="17"/>
      <c r="CE283" s="17"/>
      <c r="CF283" s="17"/>
      <c r="CG283" s="17"/>
      <c r="CH283" s="17"/>
      <c r="CI283" s="17"/>
      <c r="CJ283" s="17"/>
      <c r="CK283" s="17"/>
      <c r="CL283" s="17"/>
      <c r="CM283" s="17"/>
      <c r="CN283" s="17"/>
      <c r="CO283" s="17"/>
      <c r="CP283" s="17"/>
      <c r="CQ283" s="17"/>
    </row>
    <row r="284" spans="4:95">
      <c r="D284" s="16">
        <v>662</v>
      </c>
      <c r="E284" s="1">
        <v>0.21712781489999999</v>
      </c>
      <c r="F284" s="1">
        <v>8.0514043569999999E-2</v>
      </c>
      <c r="G284" s="1">
        <v>0.1679851711</v>
      </c>
      <c r="H284" s="1">
        <v>0.32862222190000001</v>
      </c>
      <c r="I284" s="1">
        <v>0.16823053360000001</v>
      </c>
      <c r="J284" s="1">
        <v>0.131103307</v>
      </c>
      <c r="K284" s="1">
        <v>4.3595261869999999E-2</v>
      </c>
      <c r="L284" s="1">
        <v>4.9711525440000001E-2</v>
      </c>
      <c r="M284" s="1"/>
      <c r="N284" s="1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  <c r="BI284" s="17"/>
      <c r="BJ284" s="17"/>
      <c r="BK284" s="17"/>
      <c r="BL284" s="17"/>
      <c r="BM284" s="17"/>
      <c r="BN284" s="17"/>
      <c r="BO284" s="17"/>
      <c r="BP284" s="17"/>
      <c r="BQ284" s="17"/>
      <c r="BR284" s="17"/>
      <c r="BS284" s="17"/>
      <c r="BT284" s="17"/>
      <c r="BU284" s="17"/>
      <c r="BV284" s="17"/>
      <c r="BW284" s="17"/>
      <c r="BX284" s="17"/>
      <c r="BY284" s="17"/>
      <c r="BZ284" s="17"/>
      <c r="CA284" s="17"/>
      <c r="CB284" s="17"/>
      <c r="CC284" s="17"/>
      <c r="CD284" s="17"/>
      <c r="CE284" s="17"/>
      <c r="CF284" s="17"/>
      <c r="CG284" s="17"/>
      <c r="CH284" s="17"/>
      <c r="CI284" s="17"/>
      <c r="CJ284" s="17"/>
      <c r="CK284" s="17"/>
      <c r="CL284" s="17"/>
      <c r="CM284" s="17"/>
      <c r="CN284" s="17"/>
      <c r="CO284" s="17"/>
      <c r="CP284" s="17"/>
      <c r="CQ284" s="17"/>
    </row>
    <row r="285" spans="4:95">
      <c r="D285" s="16">
        <v>663</v>
      </c>
      <c r="E285" s="1">
        <v>0.2145681083</v>
      </c>
      <c r="F285" s="1">
        <v>7.9856723549999994E-2</v>
      </c>
      <c r="G285" s="1">
        <v>0.16730946299999999</v>
      </c>
      <c r="H285" s="1">
        <v>0.32670941949999999</v>
      </c>
      <c r="I285" s="1">
        <v>0.1667326391</v>
      </c>
      <c r="J285" s="1">
        <v>0.130277738</v>
      </c>
      <c r="K285" s="1">
        <v>4.3407645080000001E-2</v>
      </c>
      <c r="L285" s="1">
        <v>4.9137812109999998E-2</v>
      </c>
      <c r="M285" s="1"/>
      <c r="N285" s="1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  <c r="BL285" s="17"/>
      <c r="BM285" s="17"/>
      <c r="BN285" s="17"/>
      <c r="BO285" s="17"/>
      <c r="BP285" s="17"/>
      <c r="BQ285" s="17"/>
      <c r="BR285" s="17"/>
      <c r="BS285" s="17"/>
      <c r="BT285" s="17"/>
      <c r="BU285" s="17"/>
      <c r="BV285" s="17"/>
      <c r="BW285" s="17"/>
      <c r="BX285" s="17"/>
      <c r="BY285" s="17"/>
      <c r="BZ285" s="17"/>
      <c r="CA285" s="17"/>
      <c r="CB285" s="17"/>
      <c r="CC285" s="17"/>
      <c r="CD285" s="17"/>
      <c r="CE285" s="17"/>
      <c r="CF285" s="17"/>
      <c r="CG285" s="17"/>
      <c r="CH285" s="17"/>
      <c r="CI285" s="17"/>
      <c r="CJ285" s="17"/>
      <c r="CK285" s="17"/>
      <c r="CL285" s="17"/>
      <c r="CM285" s="17"/>
      <c r="CN285" s="17"/>
      <c r="CO285" s="17"/>
      <c r="CP285" s="17"/>
      <c r="CQ285" s="17"/>
    </row>
    <row r="286" spans="4:95">
      <c r="D286" s="16">
        <v>664</v>
      </c>
      <c r="E286" s="1">
        <v>0.2118459046</v>
      </c>
      <c r="F286" s="1">
        <v>7.9235777260000001E-2</v>
      </c>
      <c r="G286" s="1">
        <v>0.16638745369999999</v>
      </c>
      <c r="H286" s="1">
        <v>0.3243506551</v>
      </c>
      <c r="I286" s="1">
        <v>0.1652486473</v>
      </c>
      <c r="J286" s="1">
        <v>0.12923018629999999</v>
      </c>
      <c r="K286" s="1">
        <v>4.3011531229999997E-2</v>
      </c>
      <c r="L286" s="1">
        <v>4.8612277949999998E-2</v>
      </c>
      <c r="M286" s="1"/>
      <c r="N286" s="1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  <c r="BL286" s="17"/>
      <c r="BM286" s="17"/>
      <c r="BN286" s="17"/>
      <c r="BO286" s="17"/>
      <c r="BP286" s="17"/>
      <c r="BQ286" s="17"/>
      <c r="BR286" s="17"/>
      <c r="BS286" s="17"/>
      <c r="BT286" s="17"/>
      <c r="BU286" s="17"/>
      <c r="BV286" s="17"/>
      <c r="BW286" s="17"/>
      <c r="BX286" s="17"/>
      <c r="BY286" s="17"/>
      <c r="BZ286" s="17"/>
      <c r="CA286" s="17"/>
      <c r="CB286" s="17"/>
      <c r="CC286" s="17"/>
      <c r="CD286" s="17"/>
      <c r="CE286" s="17"/>
      <c r="CF286" s="17"/>
      <c r="CG286" s="17"/>
      <c r="CH286" s="17"/>
      <c r="CI286" s="17"/>
      <c r="CJ286" s="17"/>
      <c r="CK286" s="17"/>
      <c r="CL286" s="17"/>
      <c r="CM286" s="17"/>
      <c r="CN286" s="17"/>
      <c r="CO286" s="17"/>
      <c r="CP286" s="17"/>
      <c r="CQ286" s="17"/>
    </row>
    <row r="287" spans="4:95">
      <c r="D287" s="16">
        <v>665</v>
      </c>
      <c r="E287" s="1">
        <v>0.20958992839999999</v>
      </c>
      <c r="F287" s="1">
        <v>7.8780226410000001E-2</v>
      </c>
      <c r="G287" s="1">
        <v>0.16569371520000001</v>
      </c>
      <c r="H287" s="1">
        <v>0.322520107</v>
      </c>
      <c r="I287" s="1">
        <v>0.16392621399999999</v>
      </c>
      <c r="J287" s="1">
        <v>0.1283004284</v>
      </c>
      <c r="K287" s="1">
        <v>4.3101914230000003E-2</v>
      </c>
      <c r="L287" s="1">
        <v>4.8702646049999999E-2</v>
      </c>
      <c r="M287" s="1"/>
      <c r="N287" s="1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  <c r="BL287" s="17"/>
      <c r="BM287" s="17"/>
      <c r="BN287" s="17"/>
      <c r="BO287" s="17"/>
      <c r="BP287" s="17"/>
      <c r="BQ287" s="17"/>
      <c r="BR287" s="17"/>
      <c r="BS287" s="17"/>
      <c r="BT287" s="17"/>
      <c r="BU287" s="17"/>
      <c r="BV287" s="17"/>
      <c r="BW287" s="17"/>
      <c r="BX287" s="17"/>
      <c r="BY287" s="17"/>
      <c r="BZ287" s="17"/>
      <c r="CA287" s="17"/>
      <c r="CB287" s="17"/>
      <c r="CC287" s="17"/>
      <c r="CD287" s="17"/>
      <c r="CE287" s="17"/>
      <c r="CF287" s="17"/>
      <c r="CG287" s="17"/>
      <c r="CH287" s="17"/>
      <c r="CI287" s="17"/>
      <c r="CJ287" s="17"/>
      <c r="CK287" s="17"/>
      <c r="CL287" s="17"/>
      <c r="CM287" s="17"/>
      <c r="CN287" s="17"/>
      <c r="CO287" s="17"/>
      <c r="CP287" s="17"/>
      <c r="CQ287" s="17"/>
    </row>
    <row r="288" spans="4:95">
      <c r="D288" s="16">
        <v>666</v>
      </c>
      <c r="E288" s="1">
        <v>0.20714710650000001</v>
      </c>
      <c r="F288" s="1">
        <v>7.8076966110000007E-2</v>
      </c>
      <c r="G288" s="1">
        <v>0.16482710840000001</v>
      </c>
      <c r="H288" s="1">
        <v>0.32036238909999998</v>
      </c>
      <c r="I288" s="1">
        <v>0.16216720640000001</v>
      </c>
      <c r="J288" s="1">
        <v>0.12726981940000001</v>
      </c>
      <c r="K288" s="1">
        <v>4.2549140749999999E-2</v>
      </c>
      <c r="L288" s="1">
        <v>4.8616044220000001E-2</v>
      </c>
      <c r="M288" s="1"/>
      <c r="N288" s="1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  <c r="BI288" s="17"/>
      <c r="BJ288" s="17"/>
      <c r="BK288" s="17"/>
      <c r="BL288" s="17"/>
      <c r="BM288" s="17"/>
      <c r="BN288" s="17"/>
      <c r="BO288" s="17"/>
      <c r="BP288" s="17"/>
      <c r="BQ288" s="17"/>
      <c r="BR288" s="17"/>
      <c r="BS288" s="17"/>
      <c r="BT288" s="17"/>
      <c r="BU288" s="17"/>
      <c r="BV288" s="17"/>
      <c r="BW288" s="17"/>
      <c r="BX288" s="17"/>
      <c r="BY288" s="17"/>
      <c r="BZ288" s="17"/>
      <c r="CA288" s="17"/>
      <c r="CB288" s="17"/>
      <c r="CC288" s="17"/>
      <c r="CD288" s="17"/>
      <c r="CE288" s="17"/>
      <c r="CF288" s="17"/>
      <c r="CG288" s="17"/>
      <c r="CH288" s="17"/>
      <c r="CI288" s="17"/>
      <c r="CJ288" s="17"/>
      <c r="CK288" s="17"/>
      <c r="CL288" s="17"/>
      <c r="CM288" s="17"/>
      <c r="CN288" s="17"/>
      <c r="CO288" s="17"/>
      <c r="CP288" s="17"/>
      <c r="CQ288" s="17"/>
    </row>
    <row r="289" spans="4:95">
      <c r="D289" s="16">
        <v>667</v>
      </c>
      <c r="E289" s="1">
        <v>0.20513129229999999</v>
      </c>
      <c r="F289" s="1">
        <v>7.8218497339999998E-2</v>
      </c>
      <c r="G289" s="1">
        <v>0.1642579287</v>
      </c>
      <c r="H289" s="1">
        <v>0.31820371749999998</v>
      </c>
      <c r="I289" s="1">
        <v>0.16094833610000001</v>
      </c>
      <c r="J289" s="1">
        <v>0.12683932479999999</v>
      </c>
      <c r="K289" s="1">
        <v>4.2734500020000003E-2</v>
      </c>
      <c r="L289" s="1">
        <v>4.8979893330000003E-2</v>
      </c>
      <c r="M289" s="1"/>
      <c r="N289" s="1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  <c r="BI289" s="17"/>
      <c r="BJ289" s="17"/>
      <c r="BK289" s="17"/>
      <c r="BL289" s="17"/>
      <c r="BM289" s="17"/>
      <c r="BN289" s="17"/>
      <c r="BO289" s="17"/>
      <c r="BP289" s="17"/>
      <c r="BQ289" s="17"/>
      <c r="BR289" s="17"/>
      <c r="BS289" s="17"/>
      <c r="BT289" s="17"/>
      <c r="BU289" s="17"/>
      <c r="BV289" s="17"/>
      <c r="BW289" s="17"/>
      <c r="BX289" s="17"/>
      <c r="BY289" s="17"/>
      <c r="BZ289" s="17"/>
      <c r="CA289" s="17"/>
      <c r="CB289" s="17"/>
      <c r="CC289" s="17"/>
      <c r="CD289" s="17"/>
      <c r="CE289" s="17"/>
      <c r="CF289" s="17"/>
      <c r="CG289" s="17"/>
      <c r="CH289" s="17"/>
      <c r="CI289" s="17"/>
      <c r="CJ289" s="17"/>
      <c r="CK289" s="17"/>
      <c r="CL289" s="17"/>
      <c r="CM289" s="17"/>
      <c r="CN289" s="17"/>
      <c r="CO289" s="17"/>
      <c r="CP289" s="17"/>
      <c r="CQ289" s="17"/>
    </row>
    <row r="290" spans="4:95">
      <c r="D290" s="16">
        <v>668</v>
      </c>
      <c r="E290" s="1">
        <v>0.2023403198</v>
      </c>
      <c r="F290" s="1">
        <v>7.7289655799999996E-2</v>
      </c>
      <c r="G290" s="1">
        <v>0.16335515680000001</v>
      </c>
      <c r="H290" s="1">
        <v>0.31572851540000002</v>
      </c>
      <c r="I290" s="1">
        <v>0.1593295485</v>
      </c>
      <c r="J290" s="1">
        <v>0.12548775970000001</v>
      </c>
      <c r="K290" s="1">
        <v>4.2330726979999997E-2</v>
      </c>
      <c r="L290" s="1">
        <v>4.8487078400000001E-2</v>
      </c>
      <c r="M290" s="1"/>
      <c r="N290" s="1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7"/>
      <c r="CE290" s="17"/>
      <c r="CF290" s="17"/>
      <c r="CG290" s="17"/>
      <c r="CH290" s="17"/>
      <c r="CI290" s="17"/>
      <c r="CJ290" s="17"/>
      <c r="CK290" s="17"/>
      <c r="CL290" s="17"/>
      <c r="CM290" s="17"/>
      <c r="CN290" s="17"/>
      <c r="CO290" s="17"/>
      <c r="CP290" s="17"/>
      <c r="CQ290" s="17"/>
    </row>
    <row r="291" spans="4:95">
      <c r="D291" s="16">
        <v>669</v>
      </c>
      <c r="E291" s="1">
        <v>0.19938457009999999</v>
      </c>
      <c r="F291" s="1">
        <v>7.6060339810000002E-2</v>
      </c>
      <c r="G291" s="1">
        <v>0.1621912271</v>
      </c>
      <c r="H291" s="1">
        <v>0.31256735320000001</v>
      </c>
      <c r="I291" s="1">
        <v>0.15709894899999999</v>
      </c>
      <c r="J291" s="1">
        <v>0.1241861433</v>
      </c>
      <c r="K291" s="1">
        <v>4.1953586039999997E-2</v>
      </c>
      <c r="L291" s="1">
        <v>4.7825559970000001E-2</v>
      </c>
      <c r="M291" s="1"/>
      <c r="N291" s="1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  <c r="BW291" s="17"/>
      <c r="BX291" s="17"/>
      <c r="BY291" s="17"/>
      <c r="BZ291" s="17"/>
      <c r="CA291" s="17"/>
      <c r="CB291" s="17"/>
      <c r="CC291" s="17"/>
      <c r="CD291" s="17"/>
      <c r="CE291" s="17"/>
      <c r="CF291" s="17"/>
      <c r="CG291" s="17"/>
      <c r="CH291" s="17"/>
      <c r="CI291" s="17"/>
      <c r="CJ291" s="17"/>
      <c r="CK291" s="17"/>
      <c r="CL291" s="17"/>
      <c r="CM291" s="17"/>
      <c r="CN291" s="17"/>
      <c r="CO291" s="17"/>
      <c r="CP291" s="17"/>
      <c r="CQ291" s="17"/>
    </row>
    <row r="292" spans="4:95">
      <c r="D292" s="16">
        <v>670</v>
      </c>
      <c r="E292" s="1">
        <v>0.19733567539999999</v>
      </c>
      <c r="F292" s="1">
        <v>7.6357066629999998E-2</v>
      </c>
      <c r="G292" s="1">
        <v>0.16255228220000001</v>
      </c>
      <c r="H292" s="1">
        <v>0.3097556233</v>
      </c>
      <c r="I292" s="1">
        <v>0.15643453600000001</v>
      </c>
      <c r="J292" s="1">
        <v>0.1236421987</v>
      </c>
      <c r="K292" s="1">
        <v>4.2069554330000002E-2</v>
      </c>
      <c r="L292" s="1">
        <v>4.8438891769999999E-2</v>
      </c>
      <c r="M292" s="1"/>
      <c r="N292" s="1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  <c r="BI292" s="17"/>
      <c r="BJ292" s="17"/>
      <c r="BK292" s="17"/>
      <c r="BL292" s="17"/>
      <c r="BM292" s="17"/>
      <c r="BN292" s="17"/>
      <c r="BO292" s="17"/>
      <c r="BP292" s="17"/>
      <c r="BQ292" s="17"/>
      <c r="BR292" s="17"/>
      <c r="BS292" s="17"/>
      <c r="BT292" s="17"/>
      <c r="BU292" s="17"/>
      <c r="BV292" s="17"/>
      <c r="BW292" s="17"/>
      <c r="BX292" s="17"/>
      <c r="BY292" s="17"/>
      <c r="BZ292" s="17"/>
      <c r="CA292" s="17"/>
      <c r="CB292" s="17"/>
      <c r="CC292" s="17"/>
      <c r="CD292" s="17"/>
      <c r="CE292" s="17"/>
      <c r="CF292" s="17"/>
      <c r="CG292" s="17"/>
      <c r="CH292" s="17"/>
      <c r="CI292" s="17"/>
      <c r="CJ292" s="17"/>
      <c r="CK292" s="17"/>
      <c r="CL292" s="17"/>
      <c r="CM292" s="17"/>
      <c r="CN292" s="17"/>
      <c r="CO292" s="17"/>
      <c r="CP292" s="17"/>
      <c r="CQ292" s="17"/>
    </row>
    <row r="293" spans="4:95">
      <c r="D293" s="16">
        <v>671</v>
      </c>
      <c r="E293" s="1">
        <v>0.19474819300000001</v>
      </c>
      <c r="F293" s="1">
        <v>7.5806468730000007E-2</v>
      </c>
      <c r="G293" s="1">
        <v>0.16057029370000001</v>
      </c>
      <c r="H293" s="1">
        <v>0.30708402400000001</v>
      </c>
      <c r="I293" s="1">
        <v>0.15456657109999999</v>
      </c>
      <c r="J293" s="1">
        <v>0.1228246242</v>
      </c>
      <c r="K293" s="1">
        <v>4.1629474610000002E-2</v>
      </c>
      <c r="L293" s="1">
        <v>4.8258140679999999E-2</v>
      </c>
      <c r="M293" s="1"/>
      <c r="N293" s="1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  <c r="BI293" s="17"/>
      <c r="BJ293" s="17"/>
      <c r="BK293" s="17"/>
      <c r="BL293" s="17"/>
      <c r="BM293" s="17"/>
      <c r="BN293" s="17"/>
      <c r="BO293" s="17"/>
      <c r="BP293" s="17"/>
      <c r="BQ293" s="17"/>
      <c r="BR293" s="17"/>
      <c r="BS293" s="17"/>
      <c r="BT293" s="17"/>
      <c r="BU293" s="17"/>
      <c r="BV293" s="17"/>
      <c r="BW293" s="17"/>
      <c r="BX293" s="17"/>
      <c r="BY293" s="17"/>
      <c r="BZ293" s="17"/>
      <c r="CA293" s="17"/>
      <c r="CB293" s="17"/>
      <c r="CC293" s="17"/>
      <c r="CD293" s="17"/>
      <c r="CE293" s="17"/>
      <c r="CF293" s="17"/>
      <c r="CG293" s="17"/>
      <c r="CH293" s="17"/>
      <c r="CI293" s="17"/>
      <c r="CJ293" s="17"/>
      <c r="CK293" s="17"/>
      <c r="CL293" s="17"/>
      <c r="CM293" s="17"/>
      <c r="CN293" s="17"/>
      <c r="CO293" s="17"/>
      <c r="CP293" s="17"/>
      <c r="CQ293" s="17"/>
    </row>
    <row r="294" spans="4:95">
      <c r="D294" s="16">
        <v>672</v>
      </c>
      <c r="E294" s="1">
        <v>0.1924999952</v>
      </c>
      <c r="F294" s="1">
        <v>7.5597539539999994E-2</v>
      </c>
      <c r="G294" s="1">
        <v>0.1600293666</v>
      </c>
      <c r="H294" s="1">
        <v>0.30411896109999997</v>
      </c>
      <c r="I294" s="1">
        <v>0.15334133799999999</v>
      </c>
      <c r="J294" s="1">
        <v>0.1220478415</v>
      </c>
      <c r="K294" s="1">
        <v>4.1900642219999999E-2</v>
      </c>
      <c r="L294" s="1">
        <v>4.8327863220000003E-2</v>
      </c>
      <c r="M294" s="1"/>
      <c r="N294" s="1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  <c r="BI294" s="17"/>
      <c r="BJ294" s="17"/>
      <c r="BK294" s="17"/>
      <c r="BL294" s="17"/>
      <c r="BM294" s="17"/>
      <c r="BN294" s="17"/>
      <c r="BO294" s="17"/>
      <c r="BP294" s="17"/>
      <c r="BQ294" s="17"/>
      <c r="BR294" s="17"/>
      <c r="BS294" s="17"/>
      <c r="BT294" s="17"/>
      <c r="BU294" s="17"/>
      <c r="BV294" s="17"/>
      <c r="BW294" s="17"/>
      <c r="BX294" s="17"/>
      <c r="BY294" s="17"/>
      <c r="BZ294" s="17"/>
      <c r="CA294" s="17"/>
      <c r="CB294" s="17"/>
      <c r="CC294" s="17"/>
      <c r="CD294" s="17"/>
      <c r="CE294" s="17"/>
      <c r="CF294" s="17"/>
      <c r="CG294" s="17"/>
      <c r="CH294" s="17"/>
      <c r="CI294" s="17"/>
      <c r="CJ294" s="17"/>
      <c r="CK294" s="17"/>
      <c r="CL294" s="17"/>
      <c r="CM294" s="17"/>
      <c r="CN294" s="17"/>
      <c r="CO294" s="17"/>
      <c r="CP294" s="17"/>
      <c r="CQ294" s="17"/>
    </row>
    <row r="295" spans="4:95">
      <c r="D295" s="16">
        <v>673</v>
      </c>
      <c r="E295" s="1">
        <v>0.18949991460000001</v>
      </c>
      <c r="F295" s="1">
        <v>7.518198341E-2</v>
      </c>
      <c r="G295" s="1">
        <v>0.15942150350000001</v>
      </c>
      <c r="H295" s="1">
        <v>0.30074369909999998</v>
      </c>
      <c r="I295" s="1">
        <v>0.15145164729999999</v>
      </c>
      <c r="J295" s="1">
        <v>0.1206840426</v>
      </c>
      <c r="K295" s="1">
        <v>4.1356652979999999E-2</v>
      </c>
      <c r="L295" s="1">
        <v>4.8102591190000002E-2</v>
      </c>
      <c r="M295" s="1"/>
      <c r="N295" s="1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  <c r="BI295" s="17"/>
      <c r="BJ295" s="17"/>
      <c r="BK295" s="17"/>
      <c r="BL295" s="17"/>
      <c r="BM295" s="17"/>
      <c r="BN295" s="17"/>
      <c r="BO295" s="17"/>
      <c r="BP295" s="17"/>
      <c r="BQ295" s="17"/>
      <c r="BR295" s="17"/>
      <c r="BS295" s="17"/>
      <c r="BT295" s="17"/>
      <c r="BU295" s="17"/>
      <c r="BV295" s="17"/>
      <c r="BW295" s="17"/>
      <c r="BX295" s="17"/>
      <c r="BY295" s="17"/>
      <c r="BZ295" s="17"/>
      <c r="CA295" s="17"/>
      <c r="CB295" s="17"/>
      <c r="CC295" s="17"/>
      <c r="CD295" s="17"/>
      <c r="CE295" s="17"/>
      <c r="CF295" s="17"/>
      <c r="CG295" s="17"/>
      <c r="CH295" s="17"/>
      <c r="CI295" s="17"/>
      <c r="CJ295" s="17"/>
      <c r="CK295" s="17"/>
      <c r="CL295" s="17"/>
      <c r="CM295" s="17"/>
      <c r="CN295" s="17"/>
      <c r="CO295" s="17"/>
      <c r="CP295" s="17"/>
      <c r="CQ295" s="17"/>
    </row>
    <row r="296" spans="4:95">
      <c r="D296" s="16">
        <v>674</v>
      </c>
      <c r="E296" s="1">
        <v>0.18744897839999999</v>
      </c>
      <c r="F296" s="1">
        <v>7.4507787820000004E-2</v>
      </c>
      <c r="G296" s="1">
        <v>0.1588700861</v>
      </c>
      <c r="H296" s="1">
        <v>0.29730665680000001</v>
      </c>
      <c r="I296" s="1">
        <v>0.14954307680000001</v>
      </c>
      <c r="J296" s="1">
        <v>0.12016805260000001</v>
      </c>
      <c r="K296" s="1">
        <v>4.1407566520000001E-2</v>
      </c>
      <c r="L296" s="1">
        <v>4.7505844380000002E-2</v>
      </c>
      <c r="M296" s="1"/>
      <c r="N296" s="1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  <c r="BI296" s="17"/>
      <c r="BJ296" s="17"/>
      <c r="BK296" s="17"/>
      <c r="BL296" s="17"/>
      <c r="BM296" s="17"/>
      <c r="BN296" s="17"/>
      <c r="BO296" s="17"/>
      <c r="BP296" s="17"/>
      <c r="BQ296" s="17"/>
      <c r="BR296" s="17"/>
      <c r="BS296" s="17"/>
      <c r="BT296" s="17"/>
      <c r="BU296" s="17"/>
      <c r="BV296" s="17"/>
      <c r="BW296" s="17"/>
      <c r="BX296" s="17"/>
      <c r="BY296" s="17"/>
      <c r="BZ296" s="17"/>
      <c r="CA296" s="17"/>
      <c r="CB296" s="17"/>
      <c r="CC296" s="17"/>
      <c r="CD296" s="17"/>
      <c r="CE296" s="17"/>
      <c r="CF296" s="17"/>
      <c r="CG296" s="17"/>
      <c r="CH296" s="17"/>
      <c r="CI296" s="17"/>
      <c r="CJ296" s="17"/>
      <c r="CK296" s="17"/>
      <c r="CL296" s="17"/>
      <c r="CM296" s="17"/>
      <c r="CN296" s="17"/>
      <c r="CO296" s="17"/>
      <c r="CP296" s="17"/>
      <c r="CQ296" s="17"/>
    </row>
    <row r="297" spans="4:95">
      <c r="D297" s="16">
        <v>675</v>
      </c>
      <c r="E297" s="1">
        <v>0.18430654699999999</v>
      </c>
      <c r="F297" s="1">
        <v>7.3863871400000003E-2</v>
      </c>
      <c r="G297" s="1">
        <v>0.1576454639</v>
      </c>
      <c r="H297" s="1">
        <v>0.29312789439999998</v>
      </c>
      <c r="I297" s="1">
        <v>0.1475059688</v>
      </c>
      <c r="J297" s="1">
        <v>0.11888875810000001</v>
      </c>
      <c r="K297" s="1">
        <v>4.1053872560000003E-2</v>
      </c>
      <c r="L297" s="1">
        <v>4.6997137369999997E-2</v>
      </c>
      <c r="M297" s="1"/>
      <c r="N297" s="1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  <c r="BI297" s="17"/>
      <c r="BJ297" s="17"/>
      <c r="BK297" s="17"/>
      <c r="BL297" s="17"/>
      <c r="BM297" s="17"/>
      <c r="BN297" s="17"/>
      <c r="BO297" s="17"/>
      <c r="BP297" s="17"/>
      <c r="BQ297" s="17"/>
      <c r="BR297" s="17"/>
      <c r="BS297" s="17"/>
      <c r="BT297" s="17"/>
      <c r="BU297" s="17"/>
      <c r="BV297" s="17"/>
      <c r="BW297" s="17"/>
      <c r="BX297" s="17"/>
      <c r="BY297" s="17"/>
      <c r="BZ297" s="17"/>
      <c r="CA297" s="17"/>
      <c r="CB297" s="17"/>
      <c r="CC297" s="17"/>
      <c r="CD297" s="17"/>
      <c r="CE297" s="17"/>
      <c r="CF297" s="17"/>
      <c r="CG297" s="17"/>
      <c r="CH297" s="17"/>
      <c r="CI297" s="17"/>
      <c r="CJ297" s="17"/>
      <c r="CK297" s="17"/>
      <c r="CL297" s="17"/>
      <c r="CM297" s="17"/>
      <c r="CN297" s="17"/>
      <c r="CO297" s="17"/>
      <c r="CP297" s="17"/>
      <c r="CQ297" s="17"/>
    </row>
    <row r="298" spans="4:95">
      <c r="D298" s="16">
        <v>676</v>
      </c>
      <c r="E298" s="1">
        <v>0.18195657430000001</v>
      </c>
      <c r="F298" s="1">
        <v>7.3575861749999999E-2</v>
      </c>
      <c r="G298" s="1">
        <v>0.1566204876</v>
      </c>
      <c r="H298" s="1">
        <v>0.28925335410000003</v>
      </c>
      <c r="I298" s="1">
        <v>0.1463185847</v>
      </c>
      <c r="J298" s="1">
        <v>0.11781458559999999</v>
      </c>
      <c r="K298" s="1">
        <v>4.0925029670000002E-2</v>
      </c>
      <c r="L298" s="1">
        <v>4.7289486970000003E-2</v>
      </c>
      <c r="M298" s="1"/>
      <c r="N298" s="1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  <c r="BI298" s="17"/>
      <c r="BJ298" s="17"/>
      <c r="BK298" s="17"/>
      <c r="BL298" s="17"/>
      <c r="BM298" s="17"/>
      <c r="BN298" s="17"/>
      <c r="BO298" s="17"/>
      <c r="BP298" s="17"/>
      <c r="BQ298" s="17"/>
      <c r="BR298" s="17"/>
      <c r="BS298" s="17"/>
      <c r="BT298" s="17"/>
      <c r="BU298" s="17"/>
      <c r="BV298" s="17"/>
      <c r="BW298" s="17"/>
      <c r="BX298" s="17"/>
      <c r="BY298" s="17"/>
      <c r="BZ298" s="17"/>
      <c r="CA298" s="17"/>
      <c r="CB298" s="17"/>
      <c r="CC298" s="17"/>
      <c r="CD298" s="17"/>
      <c r="CE298" s="17"/>
      <c r="CF298" s="17"/>
      <c r="CG298" s="17"/>
      <c r="CH298" s="17"/>
      <c r="CI298" s="17"/>
      <c r="CJ298" s="17"/>
      <c r="CK298" s="17"/>
      <c r="CL298" s="17"/>
      <c r="CM298" s="17"/>
      <c r="CN298" s="17"/>
      <c r="CO298" s="17"/>
      <c r="CP298" s="17"/>
      <c r="CQ298" s="17"/>
    </row>
    <row r="299" spans="4:95">
      <c r="D299" s="16">
        <v>677</v>
      </c>
      <c r="E299" s="1">
        <v>0.1794378012</v>
      </c>
      <c r="F299" s="1">
        <v>7.2877943520000002E-2</v>
      </c>
      <c r="G299" s="1">
        <v>0.15617835520000001</v>
      </c>
      <c r="H299" s="1">
        <v>0.2852802277</v>
      </c>
      <c r="I299" s="1">
        <v>0.14441914859999999</v>
      </c>
      <c r="J299" s="1">
        <v>0.1167064756</v>
      </c>
      <c r="K299" s="1">
        <v>4.0650717910000002E-2</v>
      </c>
      <c r="L299" s="1">
        <v>4.7113712879999999E-2</v>
      </c>
      <c r="M299" s="1"/>
      <c r="N299" s="1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  <c r="BI299" s="17"/>
      <c r="BJ299" s="17"/>
      <c r="BK299" s="17"/>
      <c r="BL299" s="17"/>
      <c r="BM299" s="17"/>
      <c r="BN299" s="17"/>
      <c r="BO299" s="17"/>
      <c r="BP299" s="17"/>
      <c r="BQ299" s="17"/>
      <c r="BR299" s="17"/>
      <c r="BS299" s="17"/>
      <c r="BT299" s="17"/>
      <c r="BU299" s="17"/>
      <c r="BV299" s="17"/>
      <c r="BW299" s="17"/>
      <c r="BX299" s="17"/>
      <c r="BY299" s="17"/>
      <c r="BZ299" s="17"/>
      <c r="CA299" s="17"/>
      <c r="CB299" s="17"/>
      <c r="CC299" s="17"/>
      <c r="CD299" s="17"/>
      <c r="CE299" s="17"/>
      <c r="CF299" s="17"/>
      <c r="CG299" s="17"/>
      <c r="CH299" s="17"/>
      <c r="CI299" s="17"/>
      <c r="CJ299" s="17"/>
      <c r="CK299" s="17"/>
      <c r="CL299" s="17"/>
      <c r="CM299" s="17"/>
      <c r="CN299" s="17"/>
      <c r="CO299" s="17"/>
      <c r="CP299" s="17"/>
      <c r="CQ299" s="17"/>
    </row>
    <row r="300" spans="4:95">
      <c r="D300" s="16">
        <v>678</v>
      </c>
      <c r="E300" s="1">
        <v>0.17640440169999999</v>
      </c>
      <c r="F300" s="1">
        <v>7.2429351510000003E-2</v>
      </c>
      <c r="G300" s="1">
        <v>0.1554816812</v>
      </c>
      <c r="H300" s="1">
        <v>0.2809422016</v>
      </c>
      <c r="I300" s="1">
        <v>0.14274346830000001</v>
      </c>
      <c r="J300" s="1">
        <v>0.1160470545</v>
      </c>
      <c r="K300" s="1">
        <v>4.0550529959999998E-2</v>
      </c>
      <c r="L300" s="1">
        <v>4.6808533370000002E-2</v>
      </c>
      <c r="M300" s="1"/>
      <c r="N300" s="1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  <c r="BI300" s="17"/>
      <c r="BJ300" s="17"/>
      <c r="BK300" s="17"/>
      <c r="BL300" s="17"/>
      <c r="BM300" s="17"/>
      <c r="BN300" s="17"/>
      <c r="BO300" s="17"/>
      <c r="BP300" s="17"/>
      <c r="BQ300" s="17"/>
      <c r="BR300" s="17"/>
      <c r="BS300" s="17"/>
      <c r="BT300" s="17"/>
      <c r="BU300" s="17"/>
      <c r="BV300" s="17"/>
      <c r="BW300" s="17"/>
      <c r="BX300" s="17"/>
      <c r="BY300" s="17"/>
      <c r="BZ300" s="17"/>
      <c r="CA300" s="17"/>
      <c r="CB300" s="17"/>
      <c r="CC300" s="17"/>
      <c r="CD300" s="17"/>
      <c r="CE300" s="17"/>
      <c r="CF300" s="17"/>
      <c r="CG300" s="17"/>
      <c r="CH300" s="17"/>
      <c r="CI300" s="17"/>
      <c r="CJ300" s="17"/>
      <c r="CK300" s="17"/>
      <c r="CL300" s="17"/>
      <c r="CM300" s="17"/>
      <c r="CN300" s="17"/>
      <c r="CO300" s="17"/>
      <c r="CP300" s="17"/>
      <c r="CQ300" s="17"/>
    </row>
    <row r="301" spans="4:95">
      <c r="D301" s="16">
        <v>679</v>
      </c>
      <c r="E301" s="1">
        <v>0.1741557121</v>
      </c>
      <c r="F301" s="1">
        <v>7.1974374349999995E-2</v>
      </c>
      <c r="G301" s="1">
        <v>0.15488958359999999</v>
      </c>
      <c r="H301" s="1">
        <v>0.27644231920000001</v>
      </c>
      <c r="I301" s="1">
        <v>0.14087229970000001</v>
      </c>
      <c r="J301" s="1">
        <v>0.11500767620000001</v>
      </c>
      <c r="K301" s="1">
        <v>4.0141340349999999E-2</v>
      </c>
      <c r="L301" s="1">
        <v>4.6897027639999998E-2</v>
      </c>
      <c r="M301" s="1"/>
      <c r="N301" s="1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  <c r="BI301" s="17"/>
      <c r="BJ301" s="17"/>
      <c r="BK301" s="17"/>
      <c r="BL301" s="17"/>
      <c r="BM301" s="17"/>
      <c r="BN301" s="17"/>
      <c r="BO301" s="17"/>
      <c r="BP301" s="17"/>
      <c r="BQ301" s="17"/>
      <c r="BR301" s="17"/>
      <c r="BS301" s="17"/>
      <c r="BT301" s="17"/>
      <c r="BU301" s="17"/>
      <c r="BV301" s="17"/>
      <c r="BW301" s="17"/>
      <c r="BX301" s="17"/>
      <c r="BY301" s="17"/>
      <c r="BZ301" s="17"/>
      <c r="CA301" s="17"/>
      <c r="CB301" s="17"/>
      <c r="CC301" s="17"/>
      <c r="CD301" s="17"/>
      <c r="CE301" s="17"/>
      <c r="CF301" s="17"/>
      <c r="CG301" s="17"/>
      <c r="CH301" s="17"/>
      <c r="CI301" s="17"/>
      <c r="CJ301" s="17"/>
      <c r="CK301" s="17"/>
      <c r="CL301" s="17"/>
      <c r="CM301" s="17"/>
      <c r="CN301" s="17"/>
      <c r="CO301" s="17"/>
      <c r="CP301" s="17"/>
      <c r="CQ301" s="17"/>
    </row>
    <row r="302" spans="4:95">
      <c r="D302" s="16">
        <v>680</v>
      </c>
      <c r="E302" s="1">
        <v>0.17140276730000001</v>
      </c>
      <c r="F302" s="1">
        <v>7.1526713670000006E-2</v>
      </c>
      <c r="G302" s="1">
        <v>0.15412832800000001</v>
      </c>
      <c r="H302" s="1">
        <v>0.27135434749999998</v>
      </c>
      <c r="I302" s="1">
        <v>0.13904982809999999</v>
      </c>
      <c r="J302" s="1">
        <v>0.1140926853</v>
      </c>
      <c r="K302" s="1">
        <v>3.995798901E-2</v>
      </c>
      <c r="L302" s="1">
        <v>4.6634338800000001E-2</v>
      </c>
      <c r="M302" s="1"/>
      <c r="N302" s="1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  <c r="BI302" s="17"/>
      <c r="BJ302" s="17"/>
      <c r="BK302" s="17"/>
      <c r="BL302" s="17"/>
      <c r="BM302" s="17"/>
      <c r="BN302" s="17"/>
      <c r="BO302" s="17"/>
      <c r="BP302" s="17"/>
      <c r="BQ302" s="17"/>
      <c r="BR302" s="17"/>
      <c r="BS302" s="17"/>
      <c r="BT302" s="17"/>
      <c r="BU302" s="17"/>
      <c r="BV302" s="17"/>
      <c r="BW302" s="17"/>
      <c r="BX302" s="17"/>
      <c r="BY302" s="17"/>
      <c r="BZ302" s="17"/>
      <c r="CA302" s="17"/>
      <c r="CB302" s="17"/>
      <c r="CC302" s="17"/>
      <c r="CD302" s="17"/>
      <c r="CE302" s="17"/>
      <c r="CF302" s="17"/>
      <c r="CG302" s="17"/>
      <c r="CH302" s="17"/>
      <c r="CI302" s="17"/>
      <c r="CJ302" s="17"/>
      <c r="CK302" s="17"/>
      <c r="CL302" s="17"/>
      <c r="CM302" s="17"/>
      <c r="CN302" s="17"/>
      <c r="CO302" s="17"/>
      <c r="CP302" s="17"/>
      <c r="CQ302" s="17"/>
    </row>
    <row r="303" spans="4:95">
      <c r="D303" s="16">
        <v>681</v>
      </c>
      <c r="E303" s="1">
        <v>0.16941489279999999</v>
      </c>
      <c r="F303" s="1">
        <v>7.0945747200000006E-2</v>
      </c>
      <c r="G303" s="1">
        <v>0.15372434260000001</v>
      </c>
      <c r="H303" s="1">
        <v>0.2670248449</v>
      </c>
      <c r="I303" s="1">
        <v>0.13739988210000001</v>
      </c>
      <c r="J303" s="1">
        <v>0.1131389365</v>
      </c>
      <c r="K303" s="1">
        <v>3.9741668850000002E-2</v>
      </c>
      <c r="L303" s="1">
        <v>4.6095732600000001E-2</v>
      </c>
      <c r="M303" s="1"/>
      <c r="N303" s="1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  <c r="BI303" s="17"/>
      <c r="BJ303" s="17"/>
      <c r="BK303" s="17"/>
      <c r="BL303" s="17"/>
      <c r="BM303" s="17"/>
      <c r="BN303" s="17"/>
      <c r="BO303" s="17"/>
      <c r="BP303" s="17"/>
      <c r="BQ303" s="17"/>
      <c r="BR303" s="17"/>
      <c r="BS303" s="17"/>
      <c r="BT303" s="17"/>
      <c r="BU303" s="17"/>
      <c r="BV303" s="17"/>
      <c r="BW303" s="17"/>
      <c r="BX303" s="17"/>
      <c r="BY303" s="17"/>
      <c r="BZ303" s="17"/>
      <c r="CA303" s="17"/>
      <c r="CB303" s="17"/>
      <c r="CC303" s="17"/>
      <c r="CD303" s="17"/>
      <c r="CE303" s="17"/>
      <c r="CF303" s="17"/>
      <c r="CG303" s="17"/>
      <c r="CH303" s="17"/>
      <c r="CI303" s="17"/>
      <c r="CJ303" s="17"/>
      <c r="CK303" s="17"/>
      <c r="CL303" s="17"/>
      <c r="CM303" s="17"/>
      <c r="CN303" s="17"/>
      <c r="CO303" s="17"/>
      <c r="CP303" s="17"/>
      <c r="CQ303" s="17"/>
    </row>
    <row r="304" spans="4:95">
      <c r="D304" s="16">
        <v>682</v>
      </c>
      <c r="E304" s="1">
        <v>0.16674222050000001</v>
      </c>
      <c r="F304" s="1">
        <v>7.0785731079999997E-2</v>
      </c>
      <c r="G304" s="1">
        <v>0.1514235437</v>
      </c>
      <c r="H304" s="1">
        <v>0.26234009860000002</v>
      </c>
      <c r="I304" s="1">
        <v>0.1356530339</v>
      </c>
      <c r="J304" s="1">
        <v>0.1122316569</v>
      </c>
      <c r="K304" s="1">
        <v>3.9510600270000001E-2</v>
      </c>
      <c r="L304" s="1">
        <v>4.582153261E-2</v>
      </c>
      <c r="M304" s="1"/>
      <c r="N304" s="1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  <c r="BI304" s="17"/>
      <c r="BJ304" s="17"/>
      <c r="BK304" s="17"/>
      <c r="BL304" s="17"/>
      <c r="BM304" s="17"/>
      <c r="BN304" s="17"/>
      <c r="BO304" s="17"/>
      <c r="BP304" s="17"/>
      <c r="BQ304" s="17"/>
      <c r="BR304" s="17"/>
      <c r="BS304" s="17"/>
      <c r="BT304" s="17"/>
      <c r="BU304" s="17"/>
      <c r="BV304" s="17"/>
      <c r="BW304" s="17"/>
      <c r="BX304" s="17"/>
      <c r="BY304" s="17"/>
      <c r="BZ304" s="17"/>
      <c r="CA304" s="17"/>
      <c r="CB304" s="17"/>
      <c r="CC304" s="17"/>
      <c r="CD304" s="17"/>
      <c r="CE304" s="17"/>
      <c r="CF304" s="17"/>
      <c r="CG304" s="17"/>
      <c r="CH304" s="17"/>
      <c r="CI304" s="17"/>
      <c r="CJ304" s="17"/>
      <c r="CK304" s="17"/>
      <c r="CL304" s="17"/>
      <c r="CM304" s="17"/>
      <c r="CN304" s="17"/>
      <c r="CO304" s="17"/>
      <c r="CP304" s="17"/>
      <c r="CQ304" s="17"/>
    </row>
    <row r="305" spans="4:95">
      <c r="D305" s="16">
        <v>683</v>
      </c>
      <c r="E305" s="1">
        <v>0.16458769140000001</v>
      </c>
      <c r="F305" s="1">
        <v>7.0187680419999995E-2</v>
      </c>
      <c r="G305" s="1">
        <v>0.15089081230000001</v>
      </c>
      <c r="H305" s="1">
        <v>0.25777092579999999</v>
      </c>
      <c r="I305" s="1">
        <v>0.13382065300000001</v>
      </c>
      <c r="J305" s="1">
        <v>0.1114239246</v>
      </c>
      <c r="K305" s="1">
        <v>3.9573941379999998E-2</v>
      </c>
      <c r="L305" s="1">
        <v>4.6194389459999999E-2</v>
      </c>
      <c r="M305" s="1"/>
      <c r="N305" s="1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  <c r="BI305" s="17"/>
      <c r="BJ305" s="17"/>
      <c r="BK305" s="17"/>
      <c r="BL305" s="17"/>
      <c r="BM305" s="17"/>
      <c r="BN305" s="17"/>
      <c r="BO305" s="17"/>
      <c r="BP305" s="17"/>
      <c r="BQ305" s="17"/>
      <c r="BR305" s="17"/>
      <c r="BS305" s="17"/>
      <c r="BT305" s="17"/>
      <c r="BU305" s="17"/>
      <c r="BV305" s="17"/>
      <c r="BW305" s="17"/>
      <c r="BX305" s="17"/>
      <c r="BY305" s="17"/>
      <c r="BZ305" s="17"/>
      <c r="CA305" s="17"/>
      <c r="CB305" s="17"/>
      <c r="CC305" s="17"/>
      <c r="CD305" s="17"/>
      <c r="CE305" s="17"/>
      <c r="CF305" s="17"/>
      <c r="CG305" s="17"/>
      <c r="CH305" s="17"/>
      <c r="CI305" s="17"/>
      <c r="CJ305" s="17"/>
      <c r="CK305" s="17"/>
      <c r="CL305" s="17"/>
      <c r="CM305" s="17"/>
      <c r="CN305" s="17"/>
      <c r="CO305" s="17"/>
      <c r="CP305" s="17"/>
      <c r="CQ305" s="17"/>
    </row>
    <row r="306" spans="4:95">
      <c r="D306" s="16">
        <v>684</v>
      </c>
      <c r="E306" s="1">
        <v>0.1619738191</v>
      </c>
      <c r="F306" s="1">
        <v>6.9557674230000005E-2</v>
      </c>
      <c r="G306" s="1">
        <v>0.14963649209999999</v>
      </c>
      <c r="H306" s="1">
        <v>0.2526831329</v>
      </c>
      <c r="I306" s="1">
        <v>0.1316516697</v>
      </c>
      <c r="J306" s="1">
        <v>0.1104706377</v>
      </c>
      <c r="K306" s="1">
        <v>3.9149187510000003E-2</v>
      </c>
      <c r="L306" s="1">
        <v>4.5864969489999997E-2</v>
      </c>
      <c r="M306" s="1"/>
      <c r="N306" s="1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  <c r="BI306" s="17"/>
      <c r="BJ306" s="17"/>
      <c r="BK306" s="17"/>
      <c r="BL306" s="17"/>
      <c r="BM306" s="17"/>
      <c r="BN306" s="17"/>
      <c r="BO306" s="17"/>
      <c r="BP306" s="17"/>
      <c r="BQ306" s="17"/>
      <c r="BR306" s="17"/>
      <c r="BS306" s="17"/>
      <c r="BT306" s="17"/>
      <c r="BU306" s="17"/>
      <c r="BV306" s="17"/>
      <c r="BW306" s="17"/>
      <c r="BX306" s="17"/>
      <c r="BY306" s="17"/>
      <c r="BZ306" s="17"/>
      <c r="CA306" s="17"/>
      <c r="CB306" s="17"/>
      <c r="CC306" s="17"/>
      <c r="CD306" s="17"/>
      <c r="CE306" s="17"/>
      <c r="CF306" s="1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</row>
    <row r="307" spans="4:95">
      <c r="D307" s="16">
        <v>685</v>
      </c>
      <c r="E307" s="1">
        <v>0.15950468179999999</v>
      </c>
      <c r="F307" s="1">
        <v>6.9440960879999999E-2</v>
      </c>
      <c r="G307" s="1">
        <v>0.1491760761</v>
      </c>
      <c r="H307" s="1">
        <v>0.24722313879999999</v>
      </c>
      <c r="I307" s="1">
        <v>0.12993463869999999</v>
      </c>
      <c r="J307" s="1">
        <v>0.1096316203</v>
      </c>
      <c r="K307" s="1">
        <v>3.905256838E-2</v>
      </c>
      <c r="L307" s="1">
        <v>4.5880362389999998E-2</v>
      </c>
      <c r="M307" s="1"/>
      <c r="N307" s="1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  <c r="BI307" s="17"/>
      <c r="BJ307" s="17"/>
      <c r="BK307" s="17"/>
      <c r="BL307" s="17"/>
      <c r="BM307" s="17"/>
      <c r="BN307" s="17"/>
      <c r="BO307" s="17"/>
      <c r="BP307" s="17"/>
      <c r="BQ307" s="17"/>
      <c r="BR307" s="17"/>
      <c r="BS307" s="17"/>
      <c r="BT307" s="17"/>
      <c r="BU307" s="17"/>
      <c r="BV307" s="17"/>
      <c r="BW307" s="17"/>
      <c r="BX307" s="17"/>
      <c r="BY307" s="17"/>
      <c r="BZ307" s="17"/>
      <c r="CA307" s="17"/>
      <c r="CB307" s="17"/>
      <c r="CC307" s="17"/>
      <c r="CD307" s="17"/>
      <c r="CE307" s="17"/>
      <c r="CF307" s="1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</row>
    <row r="308" spans="4:95">
      <c r="D308" s="16">
        <v>686</v>
      </c>
      <c r="E308" s="1">
        <v>0.15772168340000001</v>
      </c>
      <c r="F308" s="1">
        <v>6.8924330170000006E-2</v>
      </c>
      <c r="G308" s="1">
        <v>0.14875869450000001</v>
      </c>
      <c r="H308" s="1">
        <v>0.24230328200000001</v>
      </c>
      <c r="I308" s="1">
        <v>0.12867221240000001</v>
      </c>
      <c r="J308" s="1">
        <v>0.1089294106</v>
      </c>
      <c r="K308" s="1">
        <v>3.9353732019999997E-2</v>
      </c>
      <c r="L308" s="1">
        <v>4.5802835379999997E-2</v>
      </c>
      <c r="M308" s="1"/>
      <c r="N308" s="1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  <c r="BI308" s="17"/>
      <c r="BJ308" s="17"/>
      <c r="BK308" s="17"/>
      <c r="BL308" s="17"/>
      <c r="BM308" s="17"/>
      <c r="BN308" s="17"/>
      <c r="BO308" s="17"/>
      <c r="BP308" s="17"/>
      <c r="BQ308" s="17"/>
      <c r="BR308" s="17"/>
      <c r="BS308" s="17"/>
      <c r="BT308" s="17"/>
      <c r="BU308" s="17"/>
      <c r="BV308" s="17"/>
      <c r="BW308" s="17"/>
      <c r="BX308" s="17"/>
      <c r="BY308" s="17"/>
      <c r="BZ308" s="17"/>
      <c r="CA308" s="17"/>
      <c r="CB308" s="17"/>
      <c r="CC308" s="17"/>
      <c r="CD308" s="17"/>
      <c r="CE308" s="17"/>
      <c r="CF308" s="1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</row>
    <row r="309" spans="4:95">
      <c r="D309" s="16">
        <v>687</v>
      </c>
      <c r="E309" s="1">
        <v>0.1553265154</v>
      </c>
      <c r="F309" s="1">
        <v>6.8589918319999998E-2</v>
      </c>
      <c r="G309" s="1">
        <v>0.14791376889999999</v>
      </c>
      <c r="H309" s="1">
        <v>0.2364829034</v>
      </c>
      <c r="I309" s="1">
        <v>0.12638360260000001</v>
      </c>
      <c r="J309" s="1">
        <v>0.1074725389</v>
      </c>
      <c r="K309" s="1">
        <v>3.8987688719999997E-2</v>
      </c>
      <c r="L309" s="1">
        <v>4.5891553160000001E-2</v>
      </c>
      <c r="M309" s="1"/>
      <c r="N309" s="1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  <c r="BI309" s="17"/>
      <c r="BJ309" s="17"/>
      <c r="BK309" s="17"/>
      <c r="BL309" s="17"/>
      <c r="BM309" s="17"/>
      <c r="BN309" s="17"/>
      <c r="BO309" s="17"/>
      <c r="BP309" s="17"/>
      <c r="BQ309" s="17"/>
      <c r="BR309" s="17"/>
      <c r="BS309" s="17"/>
      <c r="BT309" s="17"/>
      <c r="BU309" s="17"/>
      <c r="BV309" s="17"/>
      <c r="BW309" s="17"/>
      <c r="BX309" s="17"/>
      <c r="BY309" s="17"/>
      <c r="BZ309" s="17"/>
      <c r="CA309" s="17"/>
      <c r="CB309" s="17"/>
      <c r="CC309" s="17"/>
      <c r="CD309" s="17"/>
      <c r="CE309" s="17"/>
      <c r="CF309" s="1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</row>
    <row r="310" spans="4:95">
      <c r="D310" s="16">
        <v>688</v>
      </c>
      <c r="E310" s="1">
        <v>0.1532652974</v>
      </c>
      <c r="F310" s="1">
        <v>6.8179801109999993E-2</v>
      </c>
      <c r="G310" s="1">
        <v>0.1472129673</v>
      </c>
      <c r="H310" s="1">
        <v>0.23251093919999999</v>
      </c>
      <c r="I310" s="1">
        <v>0.1246734709</v>
      </c>
      <c r="J310" s="1">
        <v>0.1070887148</v>
      </c>
      <c r="K310" s="1">
        <v>3.8734126840000001E-2</v>
      </c>
      <c r="L310" s="1">
        <v>4.5692589130000003E-2</v>
      </c>
      <c r="M310" s="1"/>
      <c r="N310" s="1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  <c r="BW310" s="17"/>
      <c r="BX310" s="17"/>
      <c r="BY310" s="17"/>
      <c r="BZ310" s="17"/>
      <c r="CA310" s="17"/>
      <c r="CB310" s="17"/>
      <c r="CC310" s="17"/>
      <c r="CD310" s="17"/>
      <c r="CE310" s="17"/>
      <c r="CF310" s="1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</row>
    <row r="311" spans="4:95">
      <c r="D311" s="16">
        <v>689</v>
      </c>
      <c r="E311" s="1">
        <v>0.15126279000000001</v>
      </c>
      <c r="F311" s="1">
        <v>6.7442350090000006E-2</v>
      </c>
      <c r="G311" s="1">
        <v>0.14602945740000001</v>
      </c>
      <c r="H311" s="1">
        <v>0.22708296780000001</v>
      </c>
      <c r="I311" s="1">
        <v>0.1229384318</v>
      </c>
      <c r="J311" s="1">
        <v>0.10589841749999999</v>
      </c>
      <c r="K311" s="1">
        <v>3.8563504819999997E-2</v>
      </c>
      <c r="L311" s="1">
        <v>4.5359674840000003E-2</v>
      </c>
      <c r="M311" s="1"/>
      <c r="N311" s="1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  <c r="BI311" s="17"/>
      <c r="BJ311" s="17"/>
      <c r="BK311" s="17"/>
      <c r="BL311" s="17"/>
      <c r="BM311" s="17"/>
      <c r="BN311" s="17"/>
      <c r="BO311" s="17"/>
      <c r="BP311" s="17"/>
      <c r="BQ311" s="17"/>
      <c r="BR311" s="17"/>
      <c r="BS311" s="17"/>
      <c r="BT311" s="17"/>
      <c r="BU311" s="17"/>
      <c r="BV311" s="17"/>
      <c r="BW311" s="17"/>
      <c r="BX311" s="17"/>
      <c r="BY311" s="17"/>
      <c r="BZ311" s="17"/>
      <c r="CA311" s="17"/>
      <c r="CB311" s="17"/>
      <c r="CC311" s="17"/>
      <c r="CD311" s="17"/>
      <c r="CE311" s="17"/>
      <c r="CF311" s="1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</row>
    <row r="312" spans="4:95">
      <c r="D312" s="16">
        <v>690</v>
      </c>
      <c r="E312" s="1">
        <v>0.14898747209999999</v>
      </c>
      <c r="F312" s="1">
        <v>6.7115336659999997E-2</v>
      </c>
      <c r="G312" s="1">
        <v>0.14577388760000001</v>
      </c>
      <c r="H312" s="1">
        <v>0.22194334860000001</v>
      </c>
      <c r="I312" s="1">
        <v>0.1211158261</v>
      </c>
      <c r="J312" s="1">
        <v>0.1051918343</v>
      </c>
      <c r="K312" s="1">
        <v>3.842471167E-2</v>
      </c>
      <c r="L312" s="1">
        <v>4.5368351039999998E-2</v>
      </c>
      <c r="M312" s="1"/>
      <c r="N312" s="1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  <c r="BI312" s="17"/>
      <c r="BJ312" s="17"/>
      <c r="BK312" s="17"/>
      <c r="BL312" s="17"/>
      <c r="BM312" s="17"/>
      <c r="BN312" s="17"/>
      <c r="BO312" s="17"/>
      <c r="BP312" s="17"/>
      <c r="BQ312" s="17"/>
      <c r="BR312" s="17"/>
      <c r="BS312" s="17"/>
      <c r="BT312" s="17"/>
      <c r="BU312" s="17"/>
      <c r="BV312" s="17"/>
      <c r="BW312" s="17"/>
      <c r="BX312" s="17"/>
      <c r="BY312" s="17"/>
      <c r="BZ312" s="17"/>
      <c r="CA312" s="17"/>
      <c r="CB312" s="17"/>
      <c r="CC312" s="17"/>
      <c r="CD312" s="17"/>
      <c r="CE312" s="17"/>
      <c r="CF312" s="1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</row>
    <row r="313" spans="4:95">
      <c r="D313" s="16">
        <v>691</v>
      </c>
      <c r="E313" s="1">
        <v>0.14670877160000001</v>
      </c>
      <c r="F313" s="1">
        <v>6.6498994830000005E-2</v>
      </c>
      <c r="G313" s="1">
        <v>0.14546413720000001</v>
      </c>
      <c r="H313" s="1">
        <v>0.21708518269999999</v>
      </c>
      <c r="I313" s="1">
        <v>0.119138971</v>
      </c>
      <c r="J313" s="1">
        <v>0.10475792740000001</v>
      </c>
      <c r="K313" s="1">
        <v>3.8350366060000002E-2</v>
      </c>
      <c r="L313" s="1">
        <v>4.5063622300000002E-2</v>
      </c>
      <c r="M313" s="1"/>
      <c r="N313" s="1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  <c r="BI313" s="17"/>
      <c r="BJ313" s="17"/>
      <c r="BK313" s="17"/>
      <c r="BL313" s="17"/>
      <c r="BM313" s="17"/>
      <c r="BN313" s="17"/>
      <c r="BO313" s="17"/>
      <c r="BP313" s="17"/>
      <c r="BQ313" s="17"/>
      <c r="BR313" s="17"/>
      <c r="BS313" s="17"/>
      <c r="BT313" s="17"/>
      <c r="BU313" s="17"/>
      <c r="BV313" s="17"/>
      <c r="BW313" s="17"/>
      <c r="BX313" s="17"/>
      <c r="BY313" s="17"/>
      <c r="BZ313" s="17"/>
      <c r="CA313" s="17"/>
      <c r="CB313" s="17"/>
      <c r="CC313" s="17"/>
      <c r="CD313" s="17"/>
      <c r="CE313" s="17"/>
      <c r="CF313" s="1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</row>
    <row r="314" spans="4:95">
      <c r="D314" s="16">
        <v>692</v>
      </c>
      <c r="E314" s="1">
        <v>0.14443440739999999</v>
      </c>
      <c r="F314" s="1">
        <v>6.6052421929999994E-2</v>
      </c>
      <c r="G314" s="1">
        <v>0.14434167740000001</v>
      </c>
      <c r="H314" s="1">
        <v>0.21201267839999999</v>
      </c>
      <c r="I314" s="1">
        <v>0.11728686839999999</v>
      </c>
      <c r="J314" s="1">
        <v>0.1032645479</v>
      </c>
      <c r="K314" s="1">
        <v>3.8318105040000001E-2</v>
      </c>
      <c r="L314" s="1">
        <v>4.4852551070000003E-2</v>
      </c>
      <c r="M314" s="1"/>
      <c r="N314" s="1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  <c r="BI314" s="17"/>
      <c r="BJ314" s="17"/>
      <c r="BK314" s="17"/>
      <c r="BL314" s="17"/>
      <c r="BM314" s="17"/>
      <c r="BN314" s="17"/>
      <c r="BO314" s="17"/>
      <c r="BP314" s="17"/>
      <c r="BQ314" s="17"/>
      <c r="BR314" s="17"/>
      <c r="BS314" s="17"/>
      <c r="BT314" s="17"/>
      <c r="BU314" s="17"/>
      <c r="BV314" s="17"/>
      <c r="BW314" s="17"/>
      <c r="BX314" s="17"/>
      <c r="BY314" s="17"/>
      <c r="BZ314" s="17"/>
      <c r="CA314" s="17"/>
      <c r="CB314" s="17"/>
      <c r="CC314" s="17"/>
      <c r="CD314" s="17"/>
      <c r="CE314" s="17"/>
      <c r="CF314" s="1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</row>
    <row r="315" spans="4:95">
      <c r="D315" s="16">
        <v>693</v>
      </c>
      <c r="E315" s="1">
        <v>0.1423642188</v>
      </c>
      <c r="F315" s="1">
        <v>6.5345354379999998E-2</v>
      </c>
      <c r="G315" s="1">
        <v>0.1430999637</v>
      </c>
      <c r="H315" s="1">
        <v>0.20684972409999999</v>
      </c>
      <c r="I315" s="1">
        <v>0.1158169359</v>
      </c>
      <c r="J315" s="1">
        <v>0.1026930809</v>
      </c>
      <c r="K315" s="1">
        <v>3.7738796319999997E-2</v>
      </c>
      <c r="L315" s="1">
        <v>4.4947881250000002E-2</v>
      </c>
      <c r="M315" s="1"/>
      <c r="N315" s="1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  <c r="BI315" s="17"/>
      <c r="BJ315" s="17"/>
      <c r="BK315" s="17"/>
      <c r="BL315" s="17"/>
      <c r="BM315" s="17"/>
      <c r="BN315" s="17"/>
      <c r="BO315" s="17"/>
      <c r="BP315" s="17"/>
      <c r="BQ315" s="17"/>
      <c r="BR315" s="17"/>
      <c r="BS315" s="17"/>
      <c r="BT315" s="17"/>
      <c r="BU315" s="17"/>
      <c r="BV315" s="17"/>
      <c r="BW315" s="17"/>
      <c r="BX315" s="17"/>
      <c r="BY315" s="17"/>
      <c r="BZ315" s="17"/>
      <c r="CA315" s="17"/>
      <c r="CB315" s="17"/>
      <c r="CC315" s="17"/>
      <c r="CD315" s="17"/>
      <c r="CE315" s="17"/>
      <c r="CF315" s="1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</row>
    <row r="316" spans="4:95">
      <c r="D316" s="16">
        <v>694</v>
      </c>
      <c r="E316" s="1">
        <v>0.140451774</v>
      </c>
      <c r="F316" s="1">
        <v>6.5320648250000002E-2</v>
      </c>
      <c r="G316" s="1">
        <v>0.142890662</v>
      </c>
      <c r="H316" s="1">
        <v>0.202212587</v>
      </c>
      <c r="I316" s="1">
        <v>0.1138513833</v>
      </c>
      <c r="J316" s="1">
        <v>0.10206490009999999</v>
      </c>
      <c r="K316" s="1">
        <v>3.799610212E-2</v>
      </c>
      <c r="L316" s="1">
        <v>4.511795565E-2</v>
      </c>
      <c r="M316" s="1"/>
      <c r="N316" s="1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  <c r="BI316" s="17"/>
      <c r="BJ316" s="17"/>
      <c r="BK316" s="17"/>
      <c r="BL316" s="17"/>
      <c r="BM316" s="17"/>
      <c r="BN316" s="17"/>
      <c r="BO316" s="17"/>
      <c r="BP316" s="17"/>
      <c r="BQ316" s="17"/>
      <c r="BR316" s="17"/>
      <c r="BS316" s="17"/>
      <c r="BT316" s="17"/>
      <c r="BU316" s="17"/>
      <c r="BV316" s="17"/>
      <c r="BW316" s="17"/>
      <c r="BX316" s="17"/>
      <c r="BY316" s="17"/>
      <c r="BZ316" s="17"/>
      <c r="CA316" s="17"/>
      <c r="CB316" s="17"/>
      <c r="CC316" s="17"/>
      <c r="CD316" s="17"/>
      <c r="CE316" s="17"/>
      <c r="CF316" s="1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</row>
    <row r="317" spans="4:95">
      <c r="D317" s="16">
        <v>695</v>
      </c>
      <c r="E317" s="1">
        <v>0.13856117430000001</v>
      </c>
      <c r="F317" s="1">
        <v>6.4568452540000001E-2</v>
      </c>
      <c r="G317" s="1">
        <v>0.1420758218</v>
      </c>
      <c r="H317" s="1">
        <v>0.19756574930000001</v>
      </c>
      <c r="I317" s="1">
        <v>0.1121965647</v>
      </c>
      <c r="J317" s="1">
        <v>0.1010748371</v>
      </c>
      <c r="K317" s="1">
        <v>3.74103114E-2</v>
      </c>
      <c r="L317" s="1">
        <v>4.4707342980000002E-2</v>
      </c>
      <c r="M317" s="1"/>
      <c r="N317" s="1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  <c r="BL317" s="17"/>
      <c r="BM317" s="17"/>
      <c r="BN317" s="17"/>
      <c r="BO317" s="17"/>
      <c r="BP317" s="17"/>
      <c r="BQ317" s="17"/>
      <c r="BR317" s="17"/>
      <c r="BS317" s="17"/>
      <c r="BT317" s="17"/>
      <c r="BU317" s="17"/>
      <c r="BV317" s="17"/>
      <c r="BW317" s="17"/>
      <c r="BX317" s="17"/>
      <c r="BY317" s="17"/>
      <c r="BZ317" s="17"/>
      <c r="CA317" s="17"/>
      <c r="CB317" s="17"/>
      <c r="CC317" s="17"/>
      <c r="CD317" s="17"/>
      <c r="CE317" s="17"/>
      <c r="CF317" s="1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</row>
    <row r="318" spans="4:95">
      <c r="D318" s="16">
        <v>696</v>
      </c>
      <c r="E318" s="1">
        <v>0.13648143409999999</v>
      </c>
      <c r="F318" s="1">
        <v>6.3736550510000003E-2</v>
      </c>
      <c r="G318" s="1">
        <v>0.14066973329999999</v>
      </c>
      <c r="H318" s="1">
        <v>0.1925565749</v>
      </c>
      <c r="I318" s="1">
        <v>0.110155277</v>
      </c>
      <c r="J318" s="1">
        <v>9.9861174819999995E-2</v>
      </c>
      <c r="K318" s="1">
        <v>3.6996204409999997E-2</v>
      </c>
      <c r="L318" s="1">
        <v>4.458679259E-2</v>
      </c>
      <c r="M318" s="1"/>
      <c r="N318" s="1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  <c r="BL318" s="17"/>
      <c r="BM318" s="17"/>
      <c r="BN318" s="17"/>
      <c r="BO318" s="17"/>
      <c r="BP318" s="17"/>
      <c r="BQ318" s="17"/>
      <c r="BR318" s="17"/>
      <c r="BS318" s="17"/>
      <c r="BT318" s="17"/>
      <c r="BU318" s="17"/>
      <c r="BV318" s="17"/>
      <c r="BW318" s="17"/>
      <c r="BX318" s="17"/>
      <c r="BY318" s="17"/>
      <c r="BZ318" s="17"/>
      <c r="CA318" s="17"/>
      <c r="CB318" s="17"/>
      <c r="CC318" s="17"/>
      <c r="CD318" s="17"/>
      <c r="CE318" s="17"/>
      <c r="CF318" s="1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</row>
    <row r="319" spans="4:95">
      <c r="D319" s="16">
        <v>697</v>
      </c>
      <c r="E319" s="1">
        <v>0.1348767877</v>
      </c>
      <c r="F319" s="1">
        <v>6.3356384629999998E-2</v>
      </c>
      <c r="G319" s="1">
        <v>0.1401877701</v>
      </c>
      <c r="H319" s="1">
        <v>0.1885231882</v>
      </c>
      <c r="I319" s="1">
        <v>0.10885996370000001</v>
      </c>
      <c r="J319" s="1">
        <v>9.9204443399999995E-2</v>
      </c>
      <c r="K319" s="1">
        <v>3.7104882300000003E-2</v>
      </c>
      <c r="L319" s="1">
        <v>4.4222589579999999E-2</v>
      </c>
      <c r="M319" s="1"/>
      <c r="N319" s="1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  <c r="BL319" s="17"/>
      <c r="BM319" s="17"/>
      <c r="BN319" s="17"/>
      <c r="BO319" s="17"/>
      <c r="BP319" s="17"/>
      <c r="BQ319" s="17"/>
      <c r="BR319" s="17"/>
      <c r="BS319" s="17"/>
      <c r="BT319" s="17"/>
      <c r="BU319" s="17"/>
      <c r="BV319" s="17"/>
      <c r="BW319" s="17"/>
      <c r="BX319" s="17"/>
      <c r="BY319" s="17"/>
      <c r="BZ319" s="17"/>
      <c r="CA319" s="17"/>
      <c r="CB319" s="17"/>
      <c r="CC319" s="17"/>
      <c r="CD319" s="17"/>
      <c r="CE319" s="17"/>
      <c r="CF319" s="1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</row>
    <row r="320" spans="4:95">
      <c r="D320" s="16">
        <v>698</v>
      </c>
      <c r="E320" s="1">
        <v>0.13294003900000001</v>
      </c>
      <c r="F320" s="1">
        <v>6.3049308959999995E-2</v>
      </c>
      <c r="G320" s="1">
        <v>0.13990287479999999</v>
      </c>
      <c r="H320" s="1">
        <v>0.18395403029999999</v>
      </c>
      <c r="I320" s="1">
        <v>0.10710839179999999</v>
      </c>
      <c r="J320" s="1">
        <v>9.8635204140000002E-2</v>
      </c>
      <c r="K320" s="1">
        <v>3.7151545289999997E-2</v>
      </c>
      <c r="L320" s="1">
        <v>4.4390115889999998E-2</v>
      </c>
      <c r="M320" s="1"/>
      <c r="N320" s="1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  <c r="BI320" s="17"/>
      <c r="BJ320" s="17"/>
      <c r="BK320" s="17"/>
      <c r="BL320" s="17"/>
      <c r="BM320" s="17"/>
      <c r="BN320" s="17"/>
      <c r="BO320" s="17"/>
      <c r="BP320" s="17"/>
      <c r="BQ320" s="17"/>
      <c r="BR320" s="17"/>
      <c r="BS320" s="17"/>
      <c r="BT320" s="17"/>
      <c r="BU320" s="17"/>
      <c r="BV320" s="17"/>
      <c r="BW320" s="17"/>
      <c r="BX320" s="17"/>
      <c r="BY320" s="17"/>
      <c r="BZ320" s="17"/>
      <c r="CA320" s="17"/>
      <c r="CB320" s="17"/>
      <c r="CC320" s="17"/>
      <c r="CD320" s="17"/>
      <c r="CE320" s="17"/>
      <c r="CF320" s="1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</row>
    <row r="321" spans="4:95">
      <c r="D321" s="16">
        <v>699</v>
      </c>
      <c r="E321" s="1">
        <v>0.13072896000000001</v>
      </c>
      <c r="F321" s="1">
        <v>6.2414083629999999E-2</v>
      </c>
      <c r="G321" s="1">
        <v>0.1401590258</v>
      </c>
      <c r="H321" s="1">
        <v>0.17964500189999999</v>
      </c>
      <c r="I321" s="1">
        <v>0.1055456921</v>
      </c>
      <c r="J321" s="1">
        <v>9.8032802340000003E-2</v>
      </c>
      <c r="K321" s="1">
        <v>3.6930307750000002E-2</v>
      </c>
      <c r="L321" s="1">
        <v>4.4339742510000002E-2</v>
      </c>
      <c r="M321" s="1"/>
      <c r="N321" s="1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  <c r="BI321" s="17"/>
      <c r="BJ321" s="17"/>
      <c r="BK321" s="17"/>
      <c r="BL321" s="17"/>
      <c r="BM321" s="17"/>
      <c r="BN321" s="17"/>
      <c r="BO321" s="17"/>
      <c r="BP321" s="17"/>
      <c r="BQ321" s="17"/>
      <c r="BR321" s="17"/>
      <c r="BS321" s="17"/>
      <c r="BT321" s="17"/>
      <c r="BU321" s="17"/>
      <c r="BV321" s="17"/>
      <c r="BW321" s="17"/>
      <c r="BX321" s="17"/>
      <c r="BY321" s="17"/>
      <c r="BZ321" s="17"/>
      <c r="CA321" s="17"/>
      <c r="CB321" s="17"/>
      <c r="CC321" s="17"/>
      <c r="CD321" s="17"/>
      <c r="CE321" s="17"/>
      <c r="CF321" s="1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</row>
    <row r="322" spans="4:95">
      <c r="D322" s="16">
        <v>700</v>
      </c>
      <c r="E322" s="1">
        <v>0.1291002631</v>
      </c>
      <c r="F322" s="1">
        <v>6.1702344569999998E-2</v>
      </c>
      <c r="G322" s="1">
        <v>0.13843724130000001</v>
      </c>
      <c r="H322" s="1">
        <v>0.17595955730000001</v>
      </c>
      <c r="I322" s="1">
        <v>0.10381201650000001</v>
      </c>
      <c r="J322" s="1">
        <v>9.6960715949999998E-2</v>
      </c>
      <c r="K322" s="1">
        <v>3.6724954839999997E-2</v>
      </c>
      <c r="L322" s="1">
        <v>4.395795986E-2</v>
      </c>
      <c r="M322" s="1"/>
      <c r="N322" s="1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  <c r="BI322" s="17"/>
      <c r="BJ322" s="17"/>
      <c r="BK322" s="17"/>
      <c r="BL322" s="17"/>
      <c r="BM322" s="17"/>
      <c r="BN322" s="17"/>
      <c r="BO322" s="17"/>
      <c r="BP322" s="17"/>
      <c r="BQ322" s="17"/>
      <c r="BR322" s="17"/>
      <c r="BS322" s="17"/>
      <c r="BT322" s="17"/>
      <c r="BU322" s="17"/>
      <c r="BV322" s="17"/>
      <c r="BW322" s="17"/>
      <c r="BX322" s="17"/>
      <c r="BY322" s="17"/>
      <c r="BZ322" s="17"/>
      <c r="CA322" s="17"/>
      <c r="CB322" s="17"/>
      <c r="CC322" s="17"/>
      <c r="CD322" s="17"/>
      <c r="CE322" s="17"/>
      <c r="CF322" s="1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</row>
    <row r="323" spans="4:95">
      <c r="D323" s="16">
        <v>701</v>
      </c>
      <c r="E323" s="1">
        <v>0.12701907749999999</v>
      </c>
      <c r="F323" s="1">
        <v>6.1480470000000002E-2</v>
      </c>
      <c r="G323" s="1">
        <v>0.13596755269999999</v>
      </c>
      <c r="H323" s="1">
        <v>0.1721432507</v>
      </c>
      <c r="I323" s="1">
        <v>0.1023659483</v>
      </c>
      <c r="J323" s="1">
        <v>9.6222564580000003E-2</v>
      </c>
      <c r="K323" s="1">
        <v>3.6500211810000002E-2</v>
      </c>
      <c r="L323" s="1">
        <v>4.3601270769999999E-2</v>
      </c>
      <c r="M323" s="1"/>
      <c r="N323" s="1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  <c r="BI323" s="17"/>
      <c r="BJ323" s="17"/>
      <c r="BK323" s="17"/>
      <c r="BL323" s="17"/>
      <c r="BM323" s="17"/>
      <c r="BN323" s="17"/>
      <c r="BO323" s="17"/>
      <c r="BP323" s="17"/>
      <c r="BQ323" s="17"/>
      <c r="BR323" s="17"/>
      <c r="BS323" s="17"/>
      <c r="BT323" s="17"/>
      <c r="BU323" s="17"/>
      <c r="BV323" s="17"/>
      <c r="BW323" s="17"/>
      <c r="BX323" s="17"/>
      <c r="BY323" s="17"/>
      <c r="BZ323" s="17"/>
      <c r="CA323" s="17"/>
      <c r="CB323" s="17"/>
      <c r="CC323" s="17"/>
      <c r="CD323" s="17"/>
      <c r="CE323" s="17"/>
      <c r="CF323" s="1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</row>
    <row r="324" spans="4:95">
      <c r="D324" s="16">
        <v>702</v>
      </c>
      <c r="E324" s="1">
        <v>0.12531425060000001</v>
      </c>
      <c r="F324" s="1">
        <v>6.1064224690000002E-2</v>
      </c>
      <c r="G324" s="1">
        <v>0.13538923859999999</v>
      </c>
      <c r="H324" s="1">
        <v>0.16852782669999999</v>
      </c>
      <c r="I324" s="1">
        <v>0.1007493436</v>
      </c>
      <c r="J324" s="1">
        <v>9.5436327160000001E-2</v>
      </c>
      <c r="K324" s="1">
        <v>3.6354027689999999E-2</v>
      </c>
      <c r="L324" s="1">
        <v>4.3771963570000003E-2</v>
      </c>
      <c r="M324" s="1"/>
      <c r="N324" s="1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  <c r="BI324" s="17"/>
      <c r="BJ324" s="17"/>
      <c r="BK324" s="17"/>
      <c r="BL324" s="17"/>
      <c r="BM324" s="17"/>
      <c r="BN324" s="17"/>
      <c r="BO324" s="17"/>
      <c r="BP324" s="17"/>
      <c r="BQ324" s="17"/>
      <c r="BR324" s="17"/>
      <c r="BS324" s="17"/>
      <c r="BT324" s="17"/>
      <c r="BU324" s="17"/>
      <c r="BV324" s="17"/>
      <c r="BW324" s="17"/>
      <c r="BX324" s="17"/>
      <c r="BY324" s="17"/>
      <c r="BZ324" s="17"/>
      <c r="CA324" s="17"/>
      <c r="CB324" s="17"/>
      <c r="CC324" s="17"/>
      <c r="CD324" s="17"/>
      <c r="CE324" s="17"/>
      <c r="CF324" s="1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</row>
    <row r="325" spans="4:95">
      <c r="D325" s="16">
        <v>703</v>
      </c>
      <c r="E325" s="1">
        <v>0.12357200679999999</v>
      </c>
      <c r="F325" s="1">
        <v>6.0313351449999997E-2</v>
      </c>
      <c r="G325" s="1">
        <v>0.1347589642</v>
      </c>
      <c r="H325" s="1">
        <v>0.1644544899</v>
      </c>
      <c r="I325" s="1">
        <v>9.9329501390000005E-2</v>
      </c>
      <c r="J325" s="1">
        <v>9.5155410469999993E-2</v>
      </c>
      <c r="K325" s="1">
        <v>3.6220297220000003E-2</v>
      </c>
      <c r="L325" s="1">
        <v>4.3663550170000003E-2</v>
      </c>
      <c r="M325" s="1"/>
      <c r="N325" s="1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  <c r="BI325" s="17"/>
      <c r="BJ325" s="17"/>
      <c r="BK325" s="17"/>
      <c r="BL325" s="17"/>
      <c r="BM325" s="17"/>
      <c r="BN325" s="17"/>
      <c r="BO325" s="17"/>
      <c r="BP325" s="17"/>
      <c r="BQ325" s="17"/>
      <c r="BR325" s="17"/>
      <c r="BS325" s="17"/>
      <c r="BT325" s="17"/>
      <c r="BU325" s="17"/>
      <c r="BV325" s="17"/>
      <c r="BW325" s="17"/>
      <c r="BX325" s="17"/>
      <c r="BY325" s="17"/>
      <c r="BZ325" s="17"/>
      <c r="CA325" s="17"/>
      <c r="CB325" s="17"/>
      <c r="CC325" s="17"/>
      <c r="CD325" s="17"/>
      <c r="CE325" s="17"/>
      <c r="CF325" s="1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</row>
    <row r="326" spans="4:95">
      <c r="D326" s="16">
        <v>704</v>
      </c>
      <c r="E326" s="1">
        <v>0.12175884100000001</v>
      </c>
      <c r="F326" s="1">
        <v>6.0047563169999998E-2</v>
      </c>
      <c r="G326" s="1">
        <v>0.13391196729999999</v>
      </c>
      <c r="H326" s="1">
        <v>0.16075897219999999</v>
      </c>
      <c r="I326" s="1">
        <v>9.8297022279999993E-2</v>
      </c>
      <c r="J326" s="1">
        <v>9.4249553979999998E-2</v>
      </c>
      <c r="K326" s="1">
        <v>3.6167290060000003E-2</v>
      </c>
      <c r="L326" s="1">
        <v>4.3806236239999997E-2</v>
      </c>
      <c r="M326" s="1"/>
      <c r="N326" s="1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17"/>
      <c r="BL326" s="17"/>
      <c r="BM326" s="17"/>
      <c r="BN326" s="17"/>
      <c r="BO326" s="17"/>
      <c r="BP326" s="17"/>
      <c r="BQ326" s="17"/>
      <c r="BR326" s="17"/>
      <c r="BS326" s="17"/>
      <c r="BT326" s="17"/>
      <c r="BU326" s="17"/>
      <c r="BV326" s="17"/>
      <c r="BW326" s="17"/>
      <c r="BX326" s="17"/>
      <c r="BY326" s="17"/>
      <c r="BZ326" s="17"/>
      <c r="CA326" s="17"/>
      <c r="CB326" s="17"/>
      <c r="CC326" s="17"/>
      <c r="CD326" s="17"/>
      <c r="CE326" s="17"/>
      <c r="CF326" s="1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</row>
    <row r="327" spans="4:95">
      <c r="D327" s="16">
        <v>705</v>
      </c>
      <c r="E327" s="1">
        <v>0.1198363975</v>
      </c>
      <c r="F327" s="1">
        <v>5.9183623640000002E-2</v>
      </c>
      <c r="G327" s="1">
        <v>0.13333311680000001</v>
      </c>
      <c r="H327" s="1">
        <v>0.1570230275</v>
      </c>
      <c r="I327" s="1">
        <v>9.6668295560000006E-2</v>
      </c>
      <c r="J327" s="1">
        <v>9.3468807639999998E-2</v>
      </c>
      <c r="K327" s="1">
        <v>3.5987239329999997E-2</v>
      </c>
      <c r="L327" s="1">
        <v>4.3409988279999999E-2</v>
      </c>
      <c r="M327" s="1"/>
      <c r="N327" s="1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17"/>
      <c r="BL327" s="17"/>
      <c r="BM327" s="17"/>
      <c r="BN327" s="17"/>
      <c r="BO327" s="17"/>
      <c r="BP327" s="17"/>
      <c r="BQ327" s="17"/>
      <c r="BR327" s="17"/>
      <c r="BS327" s="17"/>
      <c r="BT327" s="17"/>
      <c r="BU327" s="17"/>
      <c r="BV327" s="17"/>
      <c r="BW327" s="17"/>
      <c r="BX327" s="17"/>
      <c r="BY327" s="17"/>
      <c r="BZ327" s="17"/>
      <c r="CA327" s="17"/>
      <c r="CB327" s="17"/>
      <c r="CC327" s="17"/>
      <c r="CD327" s="17"/>
      <c r="CE327" s="17"/>
      <c r="CF327" s="1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</row>
    <row r="328" spans="4:95">
      <c r="D328" s="16">
        <v>706</v>
      </c>
      <c r="E328" s="1">
        <v>0.11813698709999999</v>
      </c>
      <c r="F328" s="1">
        <v>5.8926977220000003E-2</v>
      </c>
      <c r="G328" s="1">
        <v>0.1323815435</v>
      </c>
      <c r="H328" s="1">
        <v>0.1538393945</v>
      </c>
      <c r="I328" s="1">
        <v>9.5303781330000004E-2</v>
      </c>
      <c r="J328" s="1">
        <v>9.2992544169999997E-2</v>
      </c>
      <c r="K328" s="1">
        <v>3.6319490519999997E-2</v>
      </c>
      <c r="L328" s="1">
        <v>4.3638505039999997E-2</v>
      </c>
      <c r="M328" s="1"/>
      <c r="N328" s="1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17"/>
      <c r="BL328" s="17"/>
      <c r="BM328" s="17"/>
      <c r="BN328" s="17"/>
      <c r="BO328" s="17"/>
      <c r="BP328" s="17"/>
      <c r="BQ328" s="17"/>
      <c r="BR328" s="17"/>
      <c r="BS328" s="17"/>
      <c r="BT328" s="17"/>
      <c r="BU328" s="17"/>
      <c r="BV328" s="17"/>
      <c r="BW328" s="17"/>
      <c r="BX328" s="17"/>
      <c r="BY328" s="17"/>
      <c r="BZ328" s="17"/>
      <c r="CA328" s="17"/>
      <c r="CB328" s="17"/>
      <c r="CC328" s="17"/>
      <c r="CD328" s="17"/>
      <c r="CE328" s="17"/>
      <c r="CF328" s="1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</row>
    <row r="329" spans="4:95">
      <c r="D329" s="16">
        <v>707</v>
      </c>
      <c r="E329" s="1">
        <v>0.1162163988</v>
      </c>
      <c r="F329" s="1">
        <v>5.8229718360000002E-2</v>
      </c>
      <c r="G329" s="1">
        <v>0.13201078769999999</v>
      </c>
      <c r="H329" s="1">
        <v>0.15031480790000001</v>
      </c>
      <c r="I329" s="1">
        <v>9.3823745850000001E-2</v>
      </c>
      <c r="J329" s="1">
        <v>9.2263087630000004E-2</v>
      </c>
      <c r="K329" s="1">
        <v>3.6069504920000002E-2</v>
      </c>
      <c r="L329" s="1">
        <v>4.3584700669999997E-2</v>
      </c>
      <c r="M329" s="1"/>
      <c r="N329" s="1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17"/>
      <c r="BL329" s="17"/>
      <c r="BM329" s="17"/>
      <c r="BN329" s="17"/>
      <c r="BO329" s="17"/>
      <c r="BP329" s="17"/>
      <c r="BQ329" s="17"/>
      <c r="BR329" s="17"/>
      <c r="BS329" s="17"/>
      <c r="BT329" s="17"/>
      <c r="BU329" s="17"/>
      <c r="BV329" s="17"/>
      <c r="BW329" s="17"/>
      <c r="BX329" s="17"/>
      <c r="BY329" s="17"/>
      <c r="BZ329" s="17"/>
      <c r="CA329" s="17"/>
      <c r="CB329" s="17"/>
      <c r="CC329" s="17"/>
      <c r="CD329" s="17"/>
      <c r="CE329" s="17"/>
      <c r="CF329" s="1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</row>
    <row r="330" spans="4:95">
      <c r="D330" s="16">
        <v>708</v>
      </c>
      <c r="E330" s="1">
        <v>0.1141405851</v>
      </c>
      <c r="F330" s="1">
        <v>5.7363267990000001E-2</v>
      </c>
      <c r="G330" s="1">
        <v>0.13058738410000001</v>
      </c>
      <c r="H330" s="1">
        <v>0.14666402340000001</v>
      </c>
      <c r="I330" s="1">
        <v>9.2319116000000007E-2</v>
      </c>
      <c r="J330" s="1">
        <v>9.15799588E-2</v>
      </c>
      <c r="K330" s="1">
        <v>3.5538300869999997E-2</v>
      </c>
      <c r="L330" s="1">
        <v>4.3304871770000003E-2</v>
      </c>
      <c r="M330" s="1"/>
      <c r="N330" s="1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17"/>
      <c r="BL330" s="17"/>
      <c r="BM330" s="17"/>
      <c r="BN330" s="17"/>
      <c r="BO330" s="17"/>
      <c r="BP330" s="17"/>
      <c r="BQ330" s="17"/>
      <c r="BR330" s="17"/>
      <c r="BS330" s="17"/>
      <c r="BT330" s="17"/>
      <c r="BU330" s="17"/>
      <c r="BV330" s="17"/>
      <c r="BW330" s="17"/>
      <c r="BX330" s="17"/>
      <c r="BY330" s="17"/>
      <c r="BZ330" s="17"/>
      <c r="CA330" s="17"/>
      <c r="CB330" s="17"/>
      <c r="CC330" s="17"/>
      <c r="CD330" s="17"/>
      <c r="CE330" s="17"/>
      <c r="CF330" s="1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</row>
    <row r="331" spans="4:95">
      <c r="D331" s="16">
        <v>709</v>
      </c>
      <c r="E331" s="1">
        <v>0.1124424785</v>
      </c>
      <c r="F331" s="1">
        <v>5.7073801760000001E-2</v>
      </c>
      <c r="G331" s="1">
        <v>0.13017627600000001</v>
      </c>
      <c r="H331" s="1">
        <v>0.14358639719999999</v>
      </c>
      <c r="I331" s="1">
        <v>9.115742147E-2</v>
      </c>
      <c r="J331" s="1">
        <v>9.1038011010000003E-2</v>
      </c>
      <c r="K331" s="1">
        <v>3.5494729879999999E-2</v>
      </c>
      <c r="L331" s="1">
        <v>4.3074529620000003E-2</v>
      </c>
      <c r="M331" s="1"/>
      <c r="N331" s="1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17"/>
      <c r="BL331" s="17"/>
      <c r="BM331" s="17"/>
      <c r="BN331" s="17"/>
      <c r="BO331" s="17"/>
      <c r="BP331" s="17"/>
      <c r="BQ331" s="17"/>
      <c r="BR331" s="17"/>
      <c r="BS331" s="17"/>
      <c r="BT331" s="17"/>
      <c r="BU331" s="17"/>
      <c r="BV331" s="17"/>
      <c r="BW331" s="17"/>
      <c r="BX331" s="17"/>
      <c r="BY331" s="17"/>
      <c r="BZ331" s="17"/>
      <c r="CA331" s="17"/>
      <c r="CB331" s="17"/>
      <c r="CC331" s="17"/>
      <c r="CD331" s="17"/>
      <c r="CE331" s="17"/>
      <c r="CF331" s="1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</row>
    <row r="332" spans="4:95">
      <c r="D332" s="16">
        <v>710</v>
      </c>
      <c r="E332" s="1">
        <v>0.1102750897</v>
      </c>
      <c r="F332" s="1">
        <v>5.6142542509999997E-2</v>
      </c>
      <c r="G332" s="1">
        <v>0.12900088730000001</v>
      </c>
      <c r="H332" s="1">
        <v>0.14026284219999999</v>
      </c>
      <c r="I332" s="1">
        <v>8.9622624220000002E-2</v>
      </c>
      <c r="J332" s="1">
        <v>9.0163819490000005E-2</v>
      </c>
      <c r="K332" s="1">
        <v>3.5507399590000002E-2</v>
      </c>
      <c r="L332" s="1">
        <v>4.2719189079999997E-2</v>
      </c>
      <c r="M332" s="1"/>
      <c r="N332" s="1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17"/>
      <c r="BL332" s="17"/>
      <c r="BM332" s="17"/>
      <c r="BN332" s="17"/>
      <c r="BO332" s="17"/>
      <c r="BP332" s="17"/>
      <c r="BQ332" s="17"/>
      <c r="BR332" s="17"/>
      <c r="BS332" s="17"/>
      <c r="BT332" s="17"/>
      <c r="BU332" s="17"/>
      <c r="BV332" s="17"/>
      <c r="BW332" s="17"/>
      <c r="BX332" s="17"/>
      <c r="BY332" s="17"/>
      <c r="BZ332" s="17"/>
      <c r="CA332" s="17"/>
      <c r="CB332" s="17"/>
      <c r="CC332" s="17"/>
      <c r="CD332" s="17"/>
      <c r="CE332" s="17"/>
      <c r="CF332" s="1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</row>
    <row r="333" spans="4:95">
      <c r="D333" s="16">
        <v>711</v>
      </c>
      <c r="E333" s="1">
        <v>0.10808197410000001</v>
      </c>
      <c r="F333" s="1">
        <v>5.5466089400000002E-2</v>
      </c>
      <c r="G333" s="1">
        <v>0.1281349212</v>
      </c>
      <c r="H333" s="1">
        <v>0.13707095380000001</v>
      </c>
      <c r="I333" s="1">
        <v>8.8224112990000006E-2</v>
      </c>
      <c r="J333" s="1">
        <v>8.9352056380000003E-2</v>
      </c>
      <c r="K333" s="1">
        <v>3.5171587019999999E-2</v>
      </c>
      <c r="L333" s="1">
        <v>4.2688917370000003E-2</v>
      </c>
      <c r="M333" s="1"/>
      <c r="N333" s="1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17"/>
      <c r="BL333" s="17"/>
      <c r="BM333" s="17"/>
      <c r="BN333" s="17"/>
      <c r="BO333" s="17"/>
      <c r="BP333" s="17"/>
      <c r="BQ333" s="17"/>
      <c r="BR333" s="17"/>
      <c r="BS333" s="17"/>
      <c r="BT333" s="17"/>
      <c r="BU333" s="17"/>
      <c r="BV333" s="17"/>
      <c r="BW333" s="17"/>
      <c r="BX333" s="17"/>
      <c r="BY333" s="17"/>
      <c r="BZ333" s="17"/>
      <c r="CA333" s="17"/>
      <c r="CB333" s="17"/>
      <c r="CC333" s="17"/>
      <c r="CD333" s="17"/>
      <c r="CE333" s="17"/>
      <c r="CF333" s="1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</row>
    <row r="334" spans="4:95">
      <c r="D334" s="16">
        <v>712</v>
      </c>
      <c r="E334" s="1">
        <v>0.10646948959999999</v>
      </c>
      <c r="F334" s="1">
        <v>5.4904531690000001E-2</v>
      </c>
      <c r="G334" s="1">
        <v>0.12746262550000001</v>
      </c>
      <c r="H334" s="1">
        <v>0.13400954009999999</v>
      </c>
      <c r="I334" s="1">
        <v>8.6900562050000005E-2</v>
      </c>
      <c r="J334" s="1">
        <v>8.8697455820000007E-2</v>
      </c>
      <c r="K334" s="1">
        <v>3.507150337E-2</v>
      </c>
      <c r="L334" s="1">
        <v>4.2519047859999999E-2</v>
      </c>
      <c r="M334" s="1"/>
      <c r="N334" s="1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  <c r="BI334" s="17"/>
      <c r="BJ334" s="17"/>
      <c r="BK334" s="17"/>
      <c r="BL334" s="17"/>
      <c r="BM334" s="17"/>
      <c r="BN334" s="17"/>
      <c r="BO334" s="17"/>
      <c r="BP334" s="17"/>
      <c r="BQ334" s="17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  <c r="CB334" s="17"/>
      <c r="CC334" s="17"/>
      <c r="CD334" s="17"/>
      <c r="CE334" s="17"/>
      <c r="CF334" s="1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</row>
    <row r="335" spans="4:95">
      <c r="D335" s="16">
        <v>713</v>
      </c>
      <c r="E335" s="1">
        <v>0.1046528369</v>
      </c>
      <c r="F335" s="1">
        <v>5.4137304429999998E-2</v>
      </c>
      <c r="G335" s="1">
        <v>0.12621039149999999</v>
      </c>
      <c r="H335" s="1">
        <v>0.13135421280000001</v>
      </c>
      <c r="I335" s="1">
        <v>8.5566751659999996E-2</v>
      </c>
      <c r="J335" s="1">
        <v>8.830981702E-2</v>
      </c>
      <c r="K335" s="1">
        <v>3.4765891729999998E-2</v>
      </c>
      <c r="L335" s="1">
        <v>4.263722524E-2</v>
      </c>
      <c r="M335" s="1"/>
      <c r="N335" s="1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  <c r="BI335" s="17"/>
      <c r="BJ335" s="17"/>
      <c r="BK335" s="17"/>
      <c r="BL335" s="17"/>
      <c r="BM335" s="17"/>
      <c r="BN335" s="17"/>
      <c r="BO335" s="17"/>
      <c r="BP335" s="17"/>
      <c r="BQ335" s="17"/>
      <c r="BR335" s="17"/>
      <c r="BS335" s="17"/>
      <c r="BT335" s="17"/>
      <c r="BU335" s="17"/>
      <c r="BV335" s="17"/>
      <c r="BW335" s="17"/>
      <c r="BX335" s="17"/>
      <c r="BY335" s="17"/>
      <c r="BZ335" s="17"/>
      <c r="CA335" s="17"/>
      <c r="CB335" s="17"/>
      <c r="CC335" s="17"/>
      <c r="CD335" s="17"/>
      <c r="CE335" s="17"/>
      <c r="CF335" s="1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</row>
    <row r="336" spans="4:95">
      <c r="D336" s="16">
        <v>714</v>
      </c>
      <c r="E336" s="1">
        <v>0.1024907753</v>
      </c>
      <c r="F336" s="1">
        <v>5.3932592270000003E-2</v>
      </c>
      <c r="G336" s="1">
        <v>0.12521763150000001</v>
      </c>
      <c r="H336" s="1">
        <v>0.12830324470000001</v>
      </c>
      <c r="I336" s="1">
        <v>8.4210187199999995E-2</v>
      </c>
      <c r="J336" s="1">
        <v>8.7868966160000006E-2</v>
      </c>
      <c r="K336" s="1">
        <v>3.4732911739999997E-2</v>
      </c>
      <c r="L336" s="1">
        <v>4.2763918640000002E-2</v>
      </c>
      <c r="M336" s="1"/>
      <c r="N336" s="1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  <c r="BI336" s="17"/>
      <c r="BJ336" s="17"/>
      <c r="BK336" s="17"/>
      <c r="BL336" s="17"/>
      <c r="BM336" s="17"/>
      <c r="BN336" s="17"/>
      <c r="BO336" s="17"/>
      <c r="BP336" s="17"/>
      <c r="BQ336" s="17"/>
      <c r="BR336" s="17"/>
      <c r="BS336" s="17"/>
      <c r="BT336" s="17"/>
      <c r="BU336" s="17"/>
      <c r="BV336" s="17"/>
      <c r="BW336" s="17"/>
      <c r="BX336" s="17"/>
      <c r="BY336" s="17"/>
      <c r="BZ336" s="17"/>
      <c r="CA336" s="17"/>
      <c r="CB336" s="17"/>
      <c r="CC336" s="17"/>
      <c r="CD336" s="17"/>
      <c r="CE336" s="17"/>
      <c r="CF336" s="1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</row>
    <row r="337" spans="4:95">
      <c r="D337" s="16">
        <v>715</v>
      </c>
      <c r="E337" s="1">
        <v>0.1005213484</v>
      </c>
      <c r="F337" s="1">
        <v>5.3238414230000003E-2</v>
      </c>
      <c r="G337" s="1">
        <v>0.1242842451</v>
      </c>
      <c r="H337" s="1">
        <v>0.12544864419999999</v>
      </c>
      <c r="I337" s="1">
        <v>8.3129480480000004E-2</v>
      </c>
      <c r="J337" s="1">
        <v>8.745189011E-2</v>
      </c>
      <c r="K337" s="1">
        <v>3.4962434319999999E-2</v>
      </c>
      <c r="L337" s="1">
        <v>4.2931970210000003E-2</v>
      </c>
      <c r="M337" s="1"/>
      <c r="N337" s="1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  <c r="BI337" s="17"/>
      <c r="BJ337" s="17"/>
      <c r="BK337" s="17"/>
      <c r="BL337" s="17"/>
      <c r="BM337" s="17"/>
      <c r="BN337" s="17"/>
      <c r="BO337" s="17"/>
      <c r="BP337" s="17"/>
      <c r="BQ337" s="17"/>
      <c r="BR337" s="17"/>
      <c r="BS337" s="17"/>
      <c r="BT337" s="17"/>
      <c r="BU337" s="17"/>
      <c r="BV337" s="17"/>
      <c r="BW337" s="17"/>
      <c r="BX337" s="17"/>
      <c r="BY337" s="17"/>
      <c r="BZ337" s="17"/>
      <c r="CA337" s="17"/>
      <c r="CB337" s="17"/>
      <c r="CC337" s="17"/>
      <c r="CD337" s="17"/>
      <c r="CE337" s="17"/>
      <c r="CF337" s="1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</row>
    <row r="338" spans="4:95">
      <c r="D338" s="16">
        <v>716</v>
      </c>
      <c r="E338" s="1">
        <v>9.8458871249999996E-2</v>
      </c>
      <c r="F338" s="1">
        <v>5.222350731E-2</v>
      </c>
      <c r="G338" s="1">
        <v>0.12327408049999999</v>
      </c>
      <c r="H338" s="1">
        <v>0.12242205439999999</v>
      </c>
      <c r="I338" s="1">
        <v>8.1757217650000005E-2</v>
      </c>
      <c r="J338" s="1">
        <v>8.6912542580000002E-2</v>
      </c>
      <c r="K338" s="1">
        <v>3.4728538240000002E-2</v>
      </c>
      <c r="L338" s="1">
        <v>4.2706422510000001E-2</v>
      </c>
      <c r="M338" s="1"/>
      <c r="N338" s="1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  <c r="BI338" s="17"/>
      <c r="BJ338" s="17"/>
      <c r="BK338" s="17"/>
      <c r="BL338" s="17"/>
      <c r="BM338" s="17"/>
      <c r="BN338" s="17"/>
      <c r="BO338" s="17"/>
      <c r="BP338" s="17"/>
      <c r="BQ338" s="17"/>
      <c r="BR338" s="17"/>
      <c r="BS338" s="17"/>
      <c r="BT338" s="17"/>
      <c r="BU338" s="17"/>
      <c r="BV338" s="17"/>
      <c r="BW338" s="17"/>
      <c r="BX338" s="17"/>
      <c r="BY338" s="17"/>
      <c r="BZ338" s="17"/>
      <c r="CA338" s="17"/>
      <c r="CB338" s="17"/>
      <c r="CC338" s="17"/>
      <c r="CD338" s="17"/>
      <c r="CE338" s="17"/>
      <c r="CF338" s="1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</row>
    <row r="339" spans="4:95">
      <c r="D339" s="16">
        <v>717</v>
      </c>
      <c r="E339" s="1">
        <v>9.6336007119999997E-2</v>
      </c>
      <c r="F339" s="1">
        <v>5.1575746390000003E-2</v>
      </c>
      <c r="G339" s="1">
        <v>0.1218625307</v>
      </c>
      <c r="H339" s="1">
        <v>0.1196509749</v>
      </c>
      <c r="I339" s="1">
        <v>8.0420576039999997E-2</v>
      </c>
      <c r="J339" s="1">
        <v>8.6146250369999997E-2</v>
      </c>
      <c r="K339" s="1">
        <v>3.454622626E-2</v>
      </c>
      <c r="L339" s="1">
        <v>4.2504318059999997E-2</v>
      </c>
      <c r="M339" s="1"/>
      <c r="N339" s="1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  <c r="BI339" s="17"/>
      <c r="BJ339" s="17"/>
      <c r="BK339" s="17"/>
      <c r="BL339" s="17"/>
      <c r="BM339" s="17"/>
      <c r="BN339" s="17"/>
      <c r="BO339" s="17"/>
      <c r="BP339" s="17"/>
      <c r="BQ339" s="17"/>
      <c r="BR339" s="17"/>
      <c r="BS339" s="17"/>
      <c r="BT339" s="17"/>
      <c r="BU339" s="17"/>
      <c r="BV339" s="17"/>
      <c r="BW339" s="17"/>
      <c r="BX339" s="17"/>
      <c r="BY339" s="17"/>
      <c r="BZ339" s="17"/>
      <c r="CA339" s="17"/>
      <c r="CB339" s="17"/>
      <c r="CC339" s="17"/>
      <c r="CD339" s="17"/>
      <c r="CE339" s="17"/>
      <c r="CF339" s="1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</row>
    <row r="340" spans="4:95">
      <c r="D340" s="16">
        <v>718</v>
      </c>
      <c r="E340" s="1">
        <v>9.4250485300000006E-2</v>
      </c>
      <c r="F340" s="1">
        <v>5.1009498540000003E-2</v>
      </c>
      <c r="G340" s="1">
        <v>0.1202188209</v>
      </c>
      <c r="H340" s="1">
        <v>0.1169443205</v>
      </c>
      <c r="I340" s="1">
        <v>7.9224221410000004E-2</v>
      </c>
      <c r="J340" s="1">
        <v>8.573527634E-2</v>
      </c>
      <c r="K340" s="1">
        <v>3.4456711260000002E-2</v>
      </c>
      <c r="L340" s="1">
        <v>4.2378954589999997E-2</v>
      </c>
      <c r="M340" s="1"/>
      <c r="N340" s="1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  <c r="BI340" s="17"/>
      <c r="BJ340" s="17"/>
      <c r="BK340" s="17"/>
      <c r="BL340" s="17"/>
      <c r="BM340" s="17"/>
      <c r="BN340" s="17"/>
      <c r="BO340" s="17"/>
      <c r="BP340" s="17"/>
      <c r="BQ340" s="17"/>
      <c r="BR340" s="17"/>
      <c r="BS340" s="17"/>
      <c r="BT340" s="17"/>
      <c r="BU340" s="17"/>
      <c r="BV340" s="17"/>
      <c r="BW340" s="17"/>
      <c r="BX340" s="17"/>
      <c r="BY340" s="17"/>
      <c r="BZ340" s="17"/>
      <c r="CA340" s="17"/>
      <c r="CB340" s="17"/>
      <c r="CC340" s="17"/>
      <c r="CD340" s="17"/>
      <c r="CE340" s="17"/>
      <c r="CF340" s="1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</row>
    <row r="341" spans="4:95">
      <c r="D341" s="16">
        <v>719</v>
      </c>
      <c r="E341" s="1">
        <v>9.1959968210000007E-2</v>
      </c>
      <c r="F341" s="1">
        <v>4.993240535E-2</v>
      </c>
      <c r="G341" s="1">
        <v>0.1189313084</v>
      </c>
      <c r="H341" s="1">
        <v>0.1141300499</v>
      </c>
      <c r="I341" s="1">
        <v>7.7845513820000004E-2</v>
      </c>
      <c r="J341" s="1">
        <v>8.4656715389999998E-2</v>
      </c>
      <c r="K341" s="1">
        <v>3.4194964920000001E-2</v>
      </c>
      <c r="L341" s="1">
        <v>4.1826471689999999E-2</v>
      </c>
      <c r="M341" s="1"/>
      <c r="N341" s="1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  <c r="BI341" s="17"/>
      <c r="BJ341" s="17"/>
      <c r="BK341" s="17"/>
      <c r="BL341" s="17"/>
      <c r="BM341" s="17"/>
      <c r="BN341" s="17"/>
      <c r="BO341" s="17"/>
      <c r="BP341" s="17"/>
      <c r="BQ341" s="17"/>
      <c r="BR341" s="17"/>
      <c r="BS341" s="17"/>
      <c r="BT341" s="17"/>
      <c r="BU341" s="17"/>
      <c r="BV341" s="17"/>
      <c r="BW341" s="17"/>
      <c r="BX341" s="17"/>
      <c r="BY341" s="17"/>
      <c r="BZ341" s="17"/>
      <c r="CA341" s="17"/>
      <c r="CB341" s="17"/>
      <c r="CC341" s="17"/>
      <c r="CD341" s="17"/>
      <c r="CE341" s="17"/>
      <c r="CF341" s="1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</row>
    <row r="342" spans="4:95">
      <c r="D342" s="16">
        <v>720</v>
      </c>
      <c r="E342" s="1">
        <v>8.9983381330000001E-2</v>
      </c>
      <c r="F342" s="1">
        <v>4.9442283810000001E-2</v>
      </c>
      <c r="G342" s="1">
        <v>0.11760418860000001</v>
      </c>
      <c r="H342" s="1">
        <v>0.11175383630000001</v>
      </c>
      <c r="I342" s="1">
        <v>7.6782330869999998E-2</v>
      </c>
      <c r="J342" s="1">
        <v>8.4257110950000005E-2</v>
      </c>
      <c r="K342" s="1">
        <v>3.4028749910000003E-2</v>
      </c>
      <c r="L342" s="1">
        <v>4.1729543360000003E-2</v>
      </c>
      <c r="M342" s="1"/>
      <c r="N342" s="1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  <c r="BI342" s="17"/>
      <c r="BJ342" s="17"/>
      <c r="BK342" s="17"/>
      <c r="BL342" s="17"/>
      <c r="BM342" s="17"/>
      <c r="BN342" s="17"/>
      <c r="BO342" s="17"/>
      <c r="BP342" s="17"/>
      <c r="BQ342" s="17"/>
      <c r="BR342" s="17"/>
      <c r="BS342" s="17"/>
      <c r="BT342" s="17"/>
      <c r="BU342" s="17"/>
      <c r="BV342" s="17"/>
      <c r="BW342" s="17"/>
      <c r="BX342" s="17"/>
      <c r="BY342" s="17"/>
      <c r="BZ342" s="17"/>
      <c r="CA342" s="17"/>
      <c r="CB342" s="17"/>
      <c r="CC342" s="17"/>
      <c r="CD342" s="17"/>
      <c r="CE342" s="17"/>
      <c r="CF342" s="1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</row>
    <row r="343" spans="4:95">
      <c r="D343" s="16">
        <v>721</v>
      </c>
      <c r="E343" s="1">
        <v>8.7573170660000005E-2</v>
      </c>
      <c r="F343" s="1">
        <v>4.8420052980000003E-2</v>
      </c>
      <c r="G343" s="1">
        <v>0.11647292970000001</v>
      </c>
      <c r="H343" s="1">
        <v>0.1085464656</v>
      </c>
      <c r="I343" s="1">
        <v>7.5263738629999993E-2</v>
      </c>
      <c r="J343" s="1">
        <v>8.3732478319999998E-2</v>
      </c>
      <c r="K343" s="1">
        <v>3.382246941E-2</v>
      </c>
      <c r="L343" s="1">
        <v>4.1404802349999999E-2</v>
      </c>
      <c r="M343" s="1"/>
      <c r="N343" s="1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  <c r="BI343" s="17"/>
      <c r="BJ343" s="17"/>
      <c r="BK343" s="17"/>
      <c r="BL343" s="17"/>
      <c r="BM343" s="17"/>
      <c r="BN343" s="17"/>
      <c r="BO343" s="17"/>
      <c r="BP343" s="17"/>
      <c r="BQ343" s="17"/>
      <c r="BR343" s="17"/>
      <c r="BS343" s="17"/>
      <c r="BT343" s="17"/>
      <c r="BU343" s="17"/>
      <c r="BV343" s="17"/>
      <c r="BW343" s="17"/>
      <c r="BX343" s="17"/>
      <c r="BY343" s="17"/>
      <c r="BZ343" s="17"/>
      <c r="CA343" s="17"/>
      <c r="CB343" s="17"/>
      <c r="CC343" s="17"/>
      <c r="CD343" s="17"/>
      <c r="CE343" s="17"/>
      <c r="CF343" s="1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</row>
    <row r="344" spans="4:95">
      <c r="D344" s="16">
        <v>722</v>
      </c>
      <c r="E344" s="1">
        <v>8.5429050029999995E-2</v>
      </c>
      <c r="F344" s="1">
        <v>4.7567822039999999E-2</v>
      </c>
      <c r="G344" s="1">
        <v>0.1152449921</v>
      </c>
      <c r="H344" s="1">
        <v>0.10608302059999999</v>
      </c>
      <c r="I344" s="1">
        <v>7.4249111120000003E-2</v>
      </c>
      <c r="J344" s="1">
        <v>8.3399802450000005E-2</v>
      </c>
      <c r="K344" s="1">
        <v>3.384684399E-2</v>
      </c>
      <c r="L344" s="1">
        <v>4.1513334960000002E-2</v>
      </c>
      <c r="M344" s="1"/>
      <c r="N344" s="1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  <c r="BI344" s="17"/>
      <c r="BJ344" s="17"/>
      <c r="BK344" s="17"/>
      <c r="BL344" s="17"/>
      <c r="BM344" s="17"/>
      <c r="BN344" s="17"/>
      <c r="BO344" s="17"/>
      <c r="BP344" s="17"/>
      <c r="BQ344" s="17"/>
      <c r="BR344" s="17"/>
      <c r="BS344" s="17"/>
      <c r="BT344" s="17"/>
      <c r="BU344" s="17"/>
      <c r="BV344" s="17"/>
      <c r="BW344" s="17"/>
      <c r="BX344" s="17"/>
      <c r="BY344" s="17"/>
      <c r="BZ344" s="17"/>
      <c r="CA344" s="17"/>
      <c r="CB344" s="17"/>
      <c r="CC344" s="17"/>
      <c r="CD344" s="17"/>
      <c r="CE344" s="17"/>
      <c r="CF344" s="1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</row>
    <row r="345" spans="4:95">
      <c r="D345" s="16">
        <v>723</v>
      </c>
      <c r="E345" s="1">
        <v>8.323372155E-2</v>
      </c>
      <c r="F345" s="1">
        <v>4.6767681839999999E-2</v>
      </c>
      <c r="G345" s="1">
        <v>0.1135052815</v>
      </c>
      <c r="H345" s="1">
        <v>0.1033686474</v>
      </c>
      <c r="I345" s="1">
        <v>7.3109365999999995E-2</v>
      </c>
      <c r="J345" s="1">
        <v>8.2974433900000005E-2</v>
      </c>
      <c r="K345" s="1">
        <v>3.3873457459999999E-2</v>
      </c>
      <c r="L345" s="1">
        <v>4.1858226060000003E-2</v>
      </c>
      <c r="M345" s="1"/>
      <c r="N345" s="1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  <c r="BI345" s="17"/>
      <c r="BJ345" s="17"/>
      <c r="BK345" s="17"/>
      <c r="BL345" s="17"/>
      <c r="BM345" s="17"/>
      <c r="BN345" s="17"/>
      <c r="BO345" s="17"/>
      <c r="BP345" s="17"/>
      <c r="BQ345" s="17"/>
      <c r="BR345" s="17"/>
      <c r="BS345" s="17"/>
      <c r="BT345" s="17"/>
      <c r="BU345" s="17"/>
      <c r="BV345" s="17"/>
      <c r="BW345" s="17"/>
      <c r="BX345" s="17"/>
      <c r="BY345" s="17"/>
      <c r="BZ345" s="17"/>
      <c r="CA345" s="17"/>
      <c r="CB345" s="17"/>
      <c r="CC345" s="17"/>
      <c r="CD345" s="17"/>
      <c r="CE345" s="17"/>
      <c r="CF345" s="1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</row>
    <row r="346" spans="4:95">
      <c r="D346" s="16">
        <v>724</v>
      </c>
      <c r="E346" s="1">
        <v>8.1221170719999999E-2</v>
      </c>
      <c r="F346" s="1">
        <v>4.6030081809999998E-2</v>
      </c>
      <c r="G346" s="1">
        <v>0.11246599259999999</v>
      </c>
      <c r="H346" s="1">
        <v>0.1008940488</v>
      </c>
      <c r="I346" s="1">
        <v>7.1688197549999999E-2</v>
      </c>
      <c r="J346" s="1">
        <v>8.2244329150000003E-2</v>
      </c>
      <c r="K346" s="1">
        <v>3.369547799E-2</v>
      </c>
      <c r="L346" s="1">
        <v>4.1832569989999999E-2</v>
      </c>
      <c r="M346" s="1"/>
      <c r="N346" s="1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  <c r="BI346" s="17"/>
      <c r="BJ346" s="17"/>
      <c r="BK346" s="17"/>
      <c r="BL346" s="17"/>
      <c r="BM346" s="17"/>
      <c r="BN346" s="17"/>
      <c r="BO346" s="17"/>
      <c r="BP346" s="17"/>
      <c r="BQ346" s="17"/>
      <c r="BR346" s="17"/>
      <c r="BS346" s="17"/>
      <c r="BT346" s="17"/>
      <c r="BU346" s="17"/>
      <c r="BV346" s="17"/>
      <c r="BW346" s="17"/>
      <c r="BX346" s="17"/>
      <c r="BY346" s="17"/>
      <c r="BZ346" s="17"/>
      <c r="CA346" s="17"/>
      <c r="CB346" s="17"/>
      <c r="CC346" s="17"/>
      <c r="CD346" s="17"/>
      <c r="CE346" s="17"/>
      <c r="CF346" s="1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</row>
    <row r="347" spans="4:95">
      <c r="D347" s="16">
        <v>725</v>
      </c>
      <c r="E347" s="1">
        <v>7.8867882489999999E-2</v>
      </c>
      <c r="F347" s="1">
        <v>4.5329328629999999E-2</v>
      </c>
      <c r="G347" s="1">
        <v>0.1113888621</v>
      </c>
      <c r="H347" s="1">
        <v>9.8459519450000005E-2</v>
      </c>
      <c r="I347" s="1">
        <v>7.0975959300000002E-2</v>
      </c>
      <c r="J347" s="1">
        <v>8.1530757250000002E-2</v>
      </c>
      <c r="K347" s="1">
        <v>3.3359605819999999E-2</v>
      </c>
      <c r="L347" s="1">
        <v>4.1625373069999999E-2</v>
      </c>
      <c r="M347" s="1"/>
      <c r="N347" s="1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  <c r="BI347" s="17"/>
      <c r="BJ347" s="17"/>
      <c r="BK347" s="17"/>
      <c r="BL347" s="17"/>
      <c r="BM347" s="17"/>
      <c r="BN347" s="17"/>
      <c r="BO347" s="17"/>
      <c r="BP347" s="17"/>
      <c r="BQ347" s="17"/>
      <c r="BR347" s="17"/>
      <c r="BS347" s="17"/>
      <c r="BT347" s="17"/>
      <c r="BU347" s="17"/>
      <c r="BV347" s="17"/>
      <c r="BW347" s="17"/>
      <c r="BX347" s="17"/>
      <c r="BY347" s="17"/>
      <c r="BZ347" s="17"/>
      <c r="CA347" s="17"/>
      <c r="CB347" s="17"/>
      <c r="CC347" s="17"/>
      <c r="CD347" s="17"/>
      <c r="CE347" s="17"/>
      <c r="CF347" s="1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</row>
    <row r="348" spans="4:95">
      <c r="D348" s="16">
        <v>726</v>
      </c>
      <c r="E348" s="1">
        <v>7.7232971789999993E-2</v>
      </c>
      <c r="F348" s="1">
        <v>4.47890684E-2</v>
      </c>
      <c r="G348" s="1">
        <v>0.1102191359</v>
      </c>
      <c r="H348" s="1">
        <v>9.6219107509999999E-2</v>
      </c>
      <c r="I348" s="1">
        <v>6.9798275830000006E-2</v>
      </c>
      <c r="J348" s="1">
        <v>8.1461861730000001E-2</v>
      </c>
      <c r="K348" s="1">
        <v>3.3568713809999998E-2</v>
      </c>
      <c r="L348" s="1">
        <v>4.1951276359999998E-2</v>
      </c>
      <c r="M348" s="1"/>
      <c r="N348" s="1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  <c r="BI348" s="17"/>
      <c r="BJ348" s="17"/>
      <c r="BK348" s="17"/>
      <c r="BL348" s="17"/>
      <c r="BM348" s="17"/>
      <c r="BN348" s="17"/>
      <c r="BO348" s="17"/>
      <c r="BP348" s="17"/>
      <c r="BQ348" s="17"/>
      <c r="BR348" s="17"/>
      <c r="BS348" s="17"/>
      <c r="BT348" s="17"/>
      <c r="BU348" s="17"/>
      <c r="BV348" s="17"/>
      <c r="BW348" s="17"/>
      <c r="BX348" s="17"/>
      <c r="BY348" s="17"/>
      <c r="BZ348" s="17"/>
      <c r="CA348" s="17"/>
      <c r="CB348" s="17"/>
      <c r="CC348" s="17"/>
      <c r="CD348" s="17"/>
      <c r="CE348" s="17"/>
      <c r="CF348" s="1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</row>
    <row r="349" spans="4:95">
      <c r="D349" s="16">
        <v>727</v>
      </c>
      <c r="E349" s="1">
        <v>7.5062185530000006E-2</v>
      </c>
      <c r="F349" s="1">
        <v>4.3601270769999999E-2</v>
      </c>
      <c r="G349" s="1">
        <v>0.1088505164</v>
      </c>
      <c r="H349" s="1">
        <v>9.3645788729999999E-2</v>
      </c>
      <c r="I349" s="1">
        <v>6.8769171830000003E-2</v>
      </c>
      <c r="J349" s="1">
        <v>8.1009656190000001E-2</v>
      </c>
      <c r="K349" s="1">
        <v>3.315503895E-2</v>
      </c>
      <c r="L349" s="1">
        <v>4.1648391630000003E-2</v>
      </c>
      <c r="M349" s="1"/>
      <c r="N349" s="1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  <c r="BL349" s="17"/>
      <c r="BM349" s="17"/>
      <c r="BN349" s="17"/>
      <c r="BO349" s="17"/>
      <c r="BP349" s="17"/>
      <c r="BQ349" s="17"/>
      <c r="BR349" s="17"/>
      <c r="BS349" s="17"/>
      <c r="BT349" s="17"/>
      <c r="BU349" s="17"/>
      <c r="BV349" s="17"/>
      <c r="BW349" s="17"/>
      <c r="BX349" s="17"/>
      <c r="BY349" s="17"/>
      <c r="BZ349" s="17"/>
      <c r="CA349" s="17"/>
      <c r="CB349" s="17"/>
      <c r="CC349" s="17"/>
      <c r="CD349" s="17"/>
      <c r="CE349" s="17"/>
      <c r="CF349" s="1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</row>
    <row r="350" spans="4:95">
      <c r="D350" s="16">
        <v>728</v>
      </c>
      <c r="E350" s="1">
        <v>7.3050893840000006E-2</v>
      </c>
      <c r="F350" s="1">
        <v>4.2834680530000002E-2</v>
      </c>
      <c r="G350" s="1">
        <v>0.107175149</v>
      </c>
      <c r="H350" s="1">
        <v>9.1228887440000003E-2</v>
      </c>
      <c r="I350" s="1">
        <v>6.7929826679999999E-2</v>
      </c>
      <c r="J350" s="1">
        <v>8.0492176119999995E-2</v>
      </c>
      <c r="K350" s="1">
        <v>3.3047541979999998E-2</v>
      </c>
      <c r="L350" s="1">
        <v>4.1215341539999999E-2</v>
      </c>
      <c r="M350" s="1"/>
      <c r="N350" s="1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  <c r="BL350" s="17"/>
      <c r="BM350" s="17"/>
      <c r="BN350" s="17"/>
      <c r="BO350" s="17"/>
      <c r="BP350" s="17"/>
      <c r="BQ350" s="17"/>
      <c r="BR350" s="17"/>
      <c r="BS350" s="17"/>
      <c r="BT350" s="17"/>
      <c r="BU350" s="17"/>
      <c r="BV350" s="17"/>
      <c r="BW350" s="17"/>
      <c r="BX350" s="17"/>
      <c r="BY350" s="17"/>
      <c r="BZ350" s="17"/>
      <c r="CA350" s="17"/>
      <c r="CB350" s="17"/>
      <c r="CC350" s="17"/>
      <c r="CD350" s="17"/>
      <c r="CE350" s="17"/>
      <c r="CF350" s="1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</row>
    <row r="351" spans="4:95">
      <c r="D351" s="16">
        <v>729</v>
      </c>
      <c r="E351" s="1">
        <v>7.1441419419999999E-2</v>
      </c>
      <c r="F351" s="1">
        <v>4.2398959399999998E-2</v>
      </c>
      <c r="G351" s="1">
        <v>0.106790103</v>
      </c>
      <c r="H351" s="1">
        <v>8.928252012E-2</v>
      </c>
      <c r="I351" s="1">
        <v>6.7250072960000004E-2</v>
      </c>
      <c r="J351" s="1">
        <v>7.9895891250000003E-2</v>
      </c>
      <c r="K351" s="1">
        <v>3.3264551310000001E-2</v>
      </c>
      <c r="L351" s="1">
        <v>4.1360184549999998E-2</v>
      </c>
      <c r="M351" s="1"/>
      <c r="N351" s="1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  <c r="BL351" s="17"/>
      <c r="BM351" s="17"/>
      <c r="BN351" s="17"/>
      <c r="BO351" s="17"/>
      <c r="BP351" s="17"/>
      <c r="BQ351" s="17"/>
      <c r="BR351" s="17"/>
      <c r="BS351" s="17"/>
      <c r="BT351" s="17"/>
      <c r="BU351" s="17"/>
      <c r="BV351" s="17"/>
      <c r="BW351" s="17"/>
      <c r="BX351" s="17"/>
      <c r="BY351" s="17"/>
      <c r="BZ351" s="17"/>
      <c r="CA351" s="17"/>
      <c r="CB351" s="17"/>
      <c r="CC351" s="17"/>
      <c r="CD351" s="17"/>
      <c r="CE351" s="17"/>
      <c r="CF351" s="1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</row>
    <row r="352" spans="4:95">
      <c r="D352" s="16">
        <v>730</v>
      </c>
      <c r="E352" s="1">
        <v>6.9281794130000005E-2</v>
      </c>
      <c r="F352" s="1">
        <v>4.1652921590000003E-2</v>
      </c>
      <c r="G352" s="1">
        <v>0.1054226607</v>
      </c>
      <c r="H352" s="1">
        <v>8.6920358239999995E-2</v>
      </c>
      <c r="I352" s="1">
        <v>6.5885245800000006E-2</v>
      </c>
      <c r="J352" s="1">
        <v>7.9692855480000005E-2</v>
      </c>
      <c r="K352" s="1">
        <v>3.334266692E-2</v>
      </c>
      <c r="L352" s="1">
        <v>4.1706632819999999E-2</v>
      </c>
      <c r="M352" s="1"/>
      <c r="N352" s="1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  <c r="BI352" s="17"/>
      <c r="BJ352" s="17"/>
      <c r="BK352" s="17"/>
      <c r="BL352" s="17"/>
      <c r="BM352" s="17"/>
      <c r="BN352" s="17"/>
      <c r="BO352" s="17"/>
      <c r="BP352" s="17"/>
      <c r="BQ352" s="17"/>
      <c r="BR352" s="17"/>
      <c r="BS352" s="17"/>
      <c r="BT352" s="17"/>
      <c r="BU352" s="17"/>
      <c r="BV352" s="17"/>
      <c r="BW352" s="17"/>
      <c r="BX352" s="17"/>
      <c r="BY352" s="17"/>
      <c r="BZ352" s="17"/>
      <c r="CA352" s="17"/>
      <c r="CB352" s="17"/>
      <c r="CC352" s="17"/>
      <c r="CD352" s="17"/>
      <c r="CE352" s="17"/>
      <c r="CF352" s="17"/>
      <c r="CG352" s="17"/>
      <c r="CH352" s="17"/>
      <c r="CI352" s="17"/>
      <c r="CJ352" s="17"/>
      <c r="CK352" s="17"/>
      <c r="CL352" s="17"/>
      <c r="CM352" s="17"/>
      <c r="CN352" s="17"/>
      <c r="CO352" s="17"/>
      <c r="CP352" s="17"/>
      <c r="CQ352" s="17"/>
    </row>
    <row r="353" spans="4:95">
      <c r="D353" s="16">
        <v>731</v>
      </c>
      <c r="E353" s="1">
        <v>6.6953003410000003E-2</v>
      </c>
      <c r="F353" s="1">
        <v>4.059367254E-2</v>
      </c>
      <c r="G353" s="1">
        <v>0.1039575189</v>
      </c>
      <c r="H353" s="1">
        <v>8.4620915350000006E-2</v>
      </c>
      <c r="I353" s="1">
        <v>6.4843900499999996E-2</v>
      </c>
      <c r="J353" s="1">
        <v>7.9004697499999998E-2</v>
      </c>
      <c r="K353" s="1">
        <v>3.3110369000000001E-2</v>
      </c>
      <c r="L353" s="1">
        <v>4.123028368E-2</v>
      </c>
      <c r="M353" s="1"/>
      <c r="N353" s="1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  <c r="BI353" s="17"/>
      <c r="BJ353" s="17"/>
      <c r="BK353" s="17"/>
      <c r="BL353" s="17"/>
      <c r="BM353" s="17"/>
      <c r="BN353" s="17"/>
      <c r="BO353" s="17"/>
      <c r="BP353" s="17"/>
      <c r="BQ353" s="17"/>
      <c r="BR353" s="17"/>
      <c r="BS353" s="17"/>
      <c r="BT353" s="17"/>
      <c r="BU353" s="17"/>
      <c r="BV353" s="17"/>
      <c r="BW353" s="17"/>
      <c r="BX353" s="17"/>
      <c r="BY353" s="17"/>
      <c r="BZ353" s="17"/>
      <c r="CA353" s="17"/>
      <c r="CB353" s="17"/>
      <c r="CC353" s="17"/>
      <c r="CD353" s="17"/>
      <c r="CE353" s="17"/>
      <c r="CF353" s="17"/>
      <c r="CG353" s="17"/>
      <c r="CH353" s="17"/>
      <c r="CI353" s="17"/>
      <c r="CJ353" s="17"/>
      <c r="CK353" s="17"/>
      <c r="CL353" s="17"/>
      <c r="CM353" s="17"/>
      <c r="CN353" s="17"/>
      <c r="CO353" s="17"/>
      <c r="CP353" s="17"/>
      <c r="CQ353" s="17"/>
    </row>
    <row r="354" spans="4:95">
      <c r="D354" s="16">
        <v>732</v>
      </c>
      <c r="E354" s="1">
        <v>6.4862571660000007E-2</v>
      </c>
      <c r="F354" s="1">
        <v>3.9852198210000002E-2</v>
      </c>
      <c r="G354" s="1">
        <v>0.1019793823</v>
      </c>
      <c r="H354" s="1">
        <v>8.2450971009999999E-2</v>
      </c>
      <c r="I354" s="1">
        <v>6.3879720870000004E-2</v>
      </c>
      <c r="J354" s="1">
        <v>7.8344911340000004E-2</v>
      </c>
      <c r="K354" s="1">
        <v>3.280554712E-2</v>
      </c>
      <c r="L354" s="1">
        <v>4.1040241720000002E-2</v>
      </c>
      <c r="M354" s="1"/>
      <c r="N354" s="1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  <c r="BI354" s="17"/>
      <c r="BJ354" s="17"/>
      <c r="BK354" s="17"/>
      <c r="BL354" s="17"/>
      <c r="BM354" s="17"/>
      <c r="BN354" s="17"/>
      <c r="BO354" s="17"/>
      <c r="BP354" s="17"/>
      <c r="BQ354" s="17"/>
      <c r="BR354" s="17"/>
      <c r="BS354" s="17"/>
      <c r="BT354" s="17"/>
      <c r="BU354" s="17"/>
      <c r="BV354" s="17"/>
      <c r="BW354" s="17"/>
      <c r="BX354" s="17"/>
      <c r="BY354" s="17"/>
      <c r="BZ354" s="17"/>
      <c r="CA354" s="17"/>
      <c r="CB354" s="17"/>
      <c r="CC354" s="17"/>
      <c r="CD354" s="17"/>
      <c r="CE354" s="17"/>
      <c r="CF354" s="17"/>
      <c r="CG354" s="17"/>
      <c r="CH354" s="17"/>
      <c r="CI354" s="17"/>
      <c r="CJ354" s="17"/>
      <c r="CK354" s="17"/>
      <c r="CL354" s="17"/>
      <c r="CM354" s="17"/>
      <c r="CN354" s="17"/>
      <c r="CO354" s="17"/>
      <c r="CP354" s="17"/>
      <c r="CQ354" s="17"/>
    </row>
    <row r="355" spans="4:95">
      <c r="D355" s="16">
        <v>733</v>
      </c>
      <c r="E355" s="1">
        <v>6.2734410170000005E-2</v>
      </c>
      <c r="F355" s="1">
        <v>3.8836900139999998E-2</v>
      </c>
      <c r="G355" s="1">
        <v>0.10077712680000001</v>
      </c>
      <c r="H355" s="1">
        <v>8.0165334049999995E-2</v>
      </c>
      <c r="I355" s="1">
        <v>6.2870152289999995E-2</v>
      </c>
      <c r="J355" s="1">
        <v>7.8268706800000004E-2</v>
      </c>
      <c r="K355" s="1">
        <v>3.2993942499999998E-2</v>
      </c>
      <c r="L355" s="1">
        <v>4.1045732799999998E-2</v>
      </c>
      <c r="M355" s="1"/>
      <c r="N355" s="1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  <c r="BI355" s="17"/>
      <c r="BJ355" s="17"/>
      <c r="BK355" s="17"/>
      <c r="BL355" s="17"/>
      <c r="BM355" s="17"/>
      <c r="BN355" s="17"/>
      <c r="BO355" s="17"/>
      <c r="BP355" s="17"/>
      <c r="BQ355" s="17"/>
      <c r="BR355" s="17"/>
      <c r="BS355" s="17"/>
      <c r="BT355" s="17"/>
      <c r="BU355" s="17"/>
      <c r="BV355" s="17"/>
      <c r="BW355" s="17"/>
      <c r="BX355" s="17"/>
      <c r="BY355" s="17"/>
      <c r="BZ355" s="17"/>
      <c r="CA355" s="17"/>
      <c r="CB355" s="17"/>
      <c r="CC355" s="17"/>
      <c r="CD355" s="17"/>
      <c r="CE355" s="17"/>
      <c r="CF355" s="17"/>
      <c r="CG355" s="17"/>
      <c r="CH355" s="17"/>
      <c r="CI355" s="17"/>
      <c r="CJ355" s="17"/>
      <c r="CK355" s="17"/>
      <c r="CL355" s="17"/>
      <c r="CM355" s="17"/>
      <c r="CN355" s="17"/>
      <c r="CO355" s="17"/>
      <c r="CP355" s="17"/>
      <c r="CQ355" s="17"/>
    </row>
    <row r="356" spans="4:95">
      <c r="D356" s="16">
        <v>734</v>
      </c>
      <c r="E356" s="1">
        <v>6.0951292509999998E-2</v>
      </c>
      <c r="F356" s="1">
        <v>3.8008872419999999E-2</v>
      </c>
      <c r="G356" s="1">
        <v>9.9926173689999995E-2</v>
      </c>
      <c r="H356" s="1">
        <v>7.8200273220000005E-2</v>
      </c>
      <c r="I356" s="1">
        <v>6.1944607649999997E-2</v>
      </c>
      <c r="J356" s="1">
        <v>7.7857561409999998E-2</v>
      </c>
      <c r="K356" s="1">
        <v>3.2447267320000001E-2</v>
      </c>
      <c r="L356" s="1">
        <v>4.0978193279999998E-2</v>
      </c>
      <c r="M356" s="1"/>
      <c r="N356" s="1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  <c r="BI356" s="17"/>
      <c r="BJ356" s="17"/>
      <c r="BK356" s="17"/>
      <c r="BL356" s="17"/>
      <c r="BM356" s="17"/>
      <c r="BN356" s="17"/>
      <c r="BO356" s="17"/>
      <c r="BP356" s="17"/>
      <c r="BQ356" s="17"/>
      <c r="BR356" s="17"/>
      <c r="BS356" s="17"/>
      <c r="BT356" s="17"/>
      <c r="BU356" s="17"/>
      <c r="BV356" s="17"/>
      <c r="BW356" s="17"/>
      <c r="BX356" s="17"/>
      <c r="BY356" s="17"/>
      <c r="BZ356" s="17"/>
      <c r="CA356" s="17"/>
      <c r="CB356" s="17"/>
      <c r="CC356" s="17"/>
      <c r="CD356" s="17"/>
      <c r="CE356" s="17"/>
      <c r="CF356" s="17"/>
      <c r="CG356" s="17"/>
      <c r="CH356" s="17"/>
      <c r="CI356" s="17"/>
      <c r="CJ356" s="17"/>
      <c r="CK356" s="17"/>
      <c r="CL356" s="17"/>
      <c r="CM356" s="17"/>
      <c r="CN356" s="17"/>
      <c r="CO356" s="17"/>
      <c r="CP356" s="17"/>
      <c r="CQ356" s="17"/>
    </row>
    <row r="357" spans="4:95">
      <c r="D357" s="16">
        <v>735</v>
      </c>
      <c r="E357" s="1">
        <v>5.9343017640000002E-2</v>
      </c>
      <c r="F357" s="1">
        <v>3.7706129249999998E-2</v>
      </c>
      <c r="G357" s="1">
        <v>9.8218247290000005E-2</v>
      </c>
      <c r="H357" s="1">
        <v>7.6300896699999995E-2</v>
      </c>
      <c r="I357" s="1">
        <v>6.1351086940000001E-2</v>
      </c>
      <c r="J357" s="1">
        <v>7.7757604420000001E-2</v>
      </c>
      <c r="K357" s="1">
        <v>3.2520271839999997E-2</v>
      </c>
      <c r="L357" s="1">
        <v>4.1205663230000002E-2</v>
      </c>
      <c r="M357" s="1"/>
      <c r="N357" s="1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  <c r="BI357" s="17"/>
      <c r="BJ357" s="17"/>
      <c r="BK357" s="17"/>
      <c r="BL357" s="17"/>
      <c r="BM357" s="17"/>
      <c r="BN357" s="17"/>
      <c r="BO357" s="17"/>
      <c r="BP357" s="17"/>
      <c r="BQ357" s="17"/>
      <c r="BR357" s="17"/>
      <c r="BS357" s="17"/>
      <c r="BT357" s="17"/>
      <c r="BU357" s="17"/>
      <c r="BV357" s="17"/>
      <c r="BW357" s="17"/>
      <c r="BX357" s="17"/>
      <c r="BY357" s="17"/>
      <c r="BZ357" s="17"/>
      <c r="CA357" s="17"/>
      <c r="CB357" s="17"/>
      <c r="CC357" s="17"/>
      <c r="CD357" s="17"/>
      <c r="CE357" s="17"/>
      <c r="CF357" s="17"/>
      <c r="CG357" s="17"/>
      <c r="CH357" s="17"/>
      <c r="CI357" s="17"/>
      <c r="CJ357" s="17"/>
      <c r="CK357" s="17"/>
      <c r="CL357" s="17"/>
      <c r="CM357" s="17"/>
      <c r="CN357" s="17"/>
      <c r="CO357" s="17"/>
      <c r="CP357" s="17"/>
      <c r="CQ357" s="17"/>
    </row>
    <row r="358" spans="4:95">
      <c r="D358" s="16">
        <v>736</v>
      </c>
      <c r="E358" s="1">
        <v>5.7286083699999997E-2</v>
      </c>
      <c r="F358" s="1">
        <v>3.6752477290000002E-2</v>
      </c>
      <c r="G358" s="1">
        <v>9.6188321709999997E-2</v>
      </c>
      <c r="H358" s="1">
        <v>7.4072949590000006E-2</v>
      </c>
      <c r="I358" s="1">
        <v>6.0175102199999997E-2</v>
      </c>
      <c r="J358" s="1">
        <v>7.731693983E-2</v>
      </c>
      <c r="K358" s="1">
        <v>3.1903032210000001E-2</v>
      </c>
      <c r="L358" s="1">
        <v>4.056607559E-2</v>
      </c>
      <c r="M358" s="1"/>
      <c r="N358" s="1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  <c r="BI358" s="17"/>
      <c r="BJ358" s="17"/>
      <c r="BK358" s="17"/>
      <c r="BL358" s="17"/>
      <c r="BM358" s="17"/>
      <c r="BN358" s="17"/>
      <c r="BO358" s="17"/>
      <c r="BP358" s="17"/>
      <c r="BQ358" s="17"/>
      <c r="BR358" s="17"/>
      <c r="BS358" s="17"/>
      <c r="BT358" s="17"/>
      <c r="BU358" s="17"/>
      <c r="BV358" s="17"/>
      <c r="BW358" s="17"/>
      <c r="BX358" s="17"/>
      <c r="BY358" s="17"/>
      <c r="BZ358" s="17"/>
      <c r="CA358" s="17"/>
      <c r="CB358" s="17"/>
      <c r="CC358" s="17"/>
      <c r="CD358" s="17"/>
      <c r="CE358" s="17"/>
      <c r="CF358" s="17"/>
      <c r="CG358" s="17"/>
      <c r="CH358" s="17"/>
      <c r="CI358" s="17"/>
      <c r="CJ358" s="17"/>
      <c r="CK358" s="17"/>
      <c r="CL358" s="17"/>
      <c r="CM358" s="17"/>
      <c r="CN358" s="17"/>
      <c r="CO358" s="17"/>
      <c r="CP358" s="17"/>
      <c r="CQ358" s="17"/>
    </row>
    <row r="359" spans="4:95">
      <c r="D359" s="16">
        <v>737</v>
      </c>
      <c r="E359" s="1">
        <v>5.540056527E-2</v>
      </c>
      <c r="F359" s="1">
        <v>3.5744078460000002E-2</v>
      </c>
      <c r="G359" s="1">
        <v>9.5335371789999998E-2</v>
      </c>
      <c r="H359" s="1">
        <v>7.2291284799999994E-2</v>
      </c>
      <c r="I359" s="1">
        <v>5.9349872169999998E-2</v>
      </c>
      <c r="J359" s="1">
        <v>7.6871648429999995E-2</v>
      </c>
      <c r="K359" s="1">
        <v>3.1903728839999999E-2</v>
      </c>
      <c r="L359" s="1">
        <v>4.0651798250000003E-2</v>
      </c>
      <c r="M359" s="1"/>
      <c r="N359" s="1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  <c r="BI359" s="17"/>
      <c r="BJ359" s="17"/>
      <c r="BK359" s="17"/>
      <c r="BL359" s="17"/>
      <c r="BM359" s="17"/>
      <c r="BN359" s="17"/>
      <c r="BO359" s="17"/>
      <c r="BP359" s="17"/>
      <c r="BQ359" s="17"/>
      <c r="BR359" s="17"/>
      <c r="BS359" s="17"/>
      <c r="BT359" s="17"/>
      <c r="BU359" s="17"/>
      <c r="BV359" s="17"/>
      <c r="BW359" s="17"/>
      <c r="BX359" s="17"/>
      <c r="BY359" s="17"/>
      <c r="BZ359" s="17"/>
      <c r="CA359" s="17"/>
      <c r="CB359" s="17"/>
      <c r="CC359" s="17"/>
      <c r="CD359" s="17"/>
      <c r="CE359" s="17"/>
      <c r="CF359" s="17"/>
      <c r="CG359" s="17"/>
      <c r="CH359" s="17"/>
      <c r="CI359" s="17"/>
      <c r="CJ359" s="17"/>
      <c r="CK359" s="17"/>
      <c r="CL359" s="17"/>
      <c r="CM359" s="17"/>
      <c r="CN359" s="17"/>
      <c r="CO359" s="17"/>
      <c r="CP359" s="17"/>
      <c r="CQ359" s="17"/>
    </row>
    <row r="360" spans="4:95">
      <c r="D360" s="16">
        <v>738</v>
      </c>
      <c r="E360" s="1">
        <v>5.313934386E-2</v>
      </c>
      <c r="F360" s="1">
        <v>3.4790176899999997E-2</v>
      </c>
      <c r="G360" s="1">
        <v>9.3794122339999994E-2</v>
      </c>
      <c r="H360" s="1">
        <v>6.9807365539999999E-2</v>
      </c>
      <c r="I360" s="1">
        <v>5.8180201799999998E-2</v>
      </c>
      <c r="J360" s="1">
        <v>7.6079674070000006E-2</v>
      </c>
      <c r="K360" s="1">
        <v>3.1768325719999997E-2</v>
      </c>
      <c r="L360" s="1">
        <v>4.043936729E-2</v>
      </c>
      <c r="M360" s="1"/>
      <c r="N360" s="1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  <c r="BI360" s="17"/>
      <c r="BJ360" s="17"/>
      <c r="BK360" s="17"/>
      <c r="BL360" s="17"/>
      <c r="BM360" s="17"/>
      <c r="BN360" s="17"/>
      <c r="BO360" s="17"/>
      <c r="BP360" s="17"/>
      <c r="BQ360" s="17"/>
      <c r="BR360" s="17"/>
      <c r="BS360" s="17"/>
      <c r="BT360" s="17"/>
      <c r="BU360" s="17"/>
      <c r="BV360" s="17"/>
      <c r="BW360" s="17"/>
      <c r="BX360" s="17"/>
      <c r="BY360" s="17"/>
      <c r="BZ360" s="17"/>
      <c r="CA360" s="17"/>
      <c r="CB360" s="17"/>
      <c r="CC360" s="17"/>
      <c r="CD360" s="17"/>
      <c r="CE360" s="17"/>
      <c r="CF360" s="17"/>
      <c r="CG360" s="17"/>
      <c r="CH360" s="17"/>
      <c r="CI360" s="17"/>
      <c r="CJ360" s="17"/>
      <c r="CK360" s="17"/>
      <c r="CL360" s="17"/>
      <c r="CM360" s="17"/>
      <c r="CN360" s="17"/>
      <c r="CO360" s="17"/>
      <c r="CP360" s="17"/>
      <c r="CQ360" s="17"/>
    </row>
    <row r="361" spans="4:95">
      <c r="D361" s="16">
        <v>739</v>
      </c>
      <c r="E361" s="1">
        <v>5.1483176649999997E-2</v>
      </c>
      <c r="F361" s="1">
        <v>3.4151081E-2</v>
      </c>
      <c r="G361" s="1">
        <v>9.2619605359999996E-2</v>
      </c>
      <c r="H361" s="1">
        <v>6.7864395679999995E-2</v>
      </c>
      <c r="I361" s="1">
        <v>5.7542473080000003E-2</v>
      </c>
      <c r="J361" s="1">
        <v>7.5693361459999997E-2</v>
      </c>
      <c r="K361" s="1">
        <v>3.1951036299999999E-2</v>
      </c>
      <c r="L361" s="1">
        <v>4.0247485040000003E-2</v>
      </c>
      <c r="M361" s="1"/>
      <c r="N361" s="1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  <c r="BI361" s="17"/>
      <c r="BJ361" s="17"/>
      <c r="BK361" s="17"/>
      <c r="BL361" s="17"/>
      <c r="BM361" s="17"/>
      <c r="BN361" s="17"/>
      <c r="BO361" s="17"/>
      <c r="BP361" s="17"/>
      <c r="BQ361" s="17"/>
      <c r="BR361" s="17"/>
      <c r="BS361" s="17"/>
      <c r="BT361" s="17"/>
      <c r="BU361" s="17"/>
      <c r="BV361" s="17"/>
      <c r="BW361" s="17"/>
      <c r="BX361" s="17"/>
      <c r="BY361" s="17"/>
      <c r="BZ361" s="17"/>
      <c r="CA361" s="17"/>
      <c r="CB361" s="17"/>
      <c r="CC361" s="17"/>
      <c r="CD361" s="17"/>
      <c r="CE361" s="17"/>
      <c r="CF361" s="17"/>
      <c r="CG361" s="17"/>
      <c r="CH361" s="17"/>
      <c r="CI361" s="17"/>
      <c r="CJ361" s="17"/>
      <c r="CK361" s="17"/>
      <c r="CL361" s="17"/>
      <c r="CM361" s="17"/>
      <c r="CN361" s="17"/>
      <c r="CO361" s="17"/>
      <c r="CP361" s="17"/>
      <c r="CQ361" s="17"/>
    </row>
    <row r="362" spans="4:95">
      <c r="D362" s="16">
        <v>740</v>
      </c>
      <c r="E362" s="1">
        <v>4.9893811349999997E-2</v>
      </c>
      <c r="F362" s="1">
        <v>3.3596150579999998E-2</v>
      </c>
      <c r="G362" s="1">
        <v>9.1237254439999999E-2</v>
      </c>
      <c r="H362" s="1">
        <v>6.6404275600000007E-2</v>
      </c>
      <c r="I362" s="1">
        <v>5.7122223079999999E-2</v>
      </c>
      <c r="J362" s="1">
        <v>7.5154900550000001E-2</v>
      </c>
      <c r="K362" s="1">
        <v>3.1955633310000002E-2</v>
      </c>
      <c r="L362" s="1">
        <v>4.0739700199999999E-2</v>
      </c>
      <c r="M362" s="1"/>
      <c r="N362" s="1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  <c r="BI362" s="17"/>
      <c r="BJ362" s="17"/>
      <c r="BK362" s="17"/>
      <c r="BL362" s="17"/>
      <c r="BM362" s="17"/>
      <c r="BN362" s="17"/>
      <c r="BO362" s="17"/>
      <c r="BP362" s="17"/>
      <c r="BQ362" s="17"/>
      <c r="BR362" s="17"/>
      <c r="BS362" s="17"/>
      <c r="BT362" s="17"/>
      <c r="BU362" s="17"/>
      <c r="BV362" s="17"/>
      <c r="BW362" s="17"/>
      <c r="BX362" s="17"/>
      <c r="BY362" s="17"/>
      <c r="BZ362" s="17"/>
      <c r="CA362" s="17"/>
      <c r="CB362" s="17"/>
      <c r="CC362" s="17"/>
      <c r="CD362" s="17"/>
      <c r="CE362" s="17"/>
      <c r="CF362" s="17"/>
      <c r="CG362" s="17"/>
      <c r="CH362" s="17"/>
      <c r="CI362" s="17"/>
      <c r="CJ362" s="17"/>
      <c r="CK362" s="17"/>
      <c r="CL362" s="17"/>
      <c r="CM362" s="17"/>
      <c r="CN362" s="17"/>
      <c r="CO362" s="17"/>
      <c r="CP362" s="17"/>
      <c r="CQ362" s="17"/>
    </row>
    <row r="363" spans="4:95">
      <c r="D363" s="16">
        <v>741</v>
      </c>
      <c r="E363" s="1">
        <v>4.8143047840000001E-2</v>
      </c>
      <c r="F363" s="1">
        <v>3.2842062409999997E-2</v>
      </c>
      <c r="G363" s="1">
        <v>9.0260080990000005E-2</v>
      </c>
      <c r="H363" s="1">
        <v>6.4862325789999994E-2</v>
      </c>
      <c r="I363" s="1">
        <v>5.6313730780000001E-2</v>
      </c>
      <c r="J363" s="1">
        <v>7.5067229570000005E-2</v>
      </c>
      <c r="K363" s="1">
        <v>3.18825841E-2</v>
      </c>
      <c r="L363" s="1">
        <v>4.0087994189999997E-2</v>
      </c>
      <c r="M363" s="1"/>
      <c r="N363" s="1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  <c r="BI363" s="17"/>
      <c r="BJ363" s="17"/>
      <c r="BK363" s="17"/>
      <c r="BL363" s="17"/>
      <c r="BM363" s="17"/>
      <c r="BN363" s="17"/>
      <c r="BO363" s="17"/>
      <c r="BP363" s="17"/>
      <c r="BQ363" s="17"/>
      <c r="BR363" s="17"/>
      <c r="BS363" s="17"/>
      <c r="BT363" s="17"/>
      <c r="BU363" s="17"/>
      <c r="BV363" s="17"/>
      <c r="BW363" s="17"/>
      <c r="BX363" s="17"/>
      <c r="BY363" s="17"/>
      <c r="BZ363" s="17"/>
      <c r="CA363" s="17"/>
      <c r="CB363" s="17"/>
      <c r="CC363" s="17"/>
      <c r="CD363" s="17"/>
      <c r="CE363" s="17"/>
      <c r="CF363" s="17"/>
      <c r="CG363" s="17"/>
      <c r="CH363" s="17"/>
      <c r="CI363" s="17"/>
      <c r="CJ363" s="17"/>
      <c r="CK363" s="17"/>
      <c r="CL363" s="17"/>
      <c r="CM363" s="17"/>
      <c r="CN363" s="17"/>
      <c r="CO363" s="17"/>
      <c r="CP363" s="17"/>
      <c r="CQ363" s="17"/>
    </row>
    <row r="364" spans="4:95">
      <c r="D364" s="16">
        <v>742</v>
      </c>
      <c r="E364" s="1">
        <v>4.6455431730000003E-2</v>
      </c>
      <c r="F364" s="1">
        <v>3.2263707369999998E-2</v>
      </c>
      <c r="G364" s="1">
        <v>8.913365006E-2</v>
      </c>
      <c r="H364" s="1">
        <v>6.2941156329999998E-2</v>
      </c>
      <c r="I364" s="1">
        <v>5.5629126729999999E-2</v>
      </c>
      <c r="J364" s="1">
        <v>7.526746392E-2</v>
      </c>
      <c r="K364" s="1">
        <v>3.1840603799999999E-2</v>
      </c>
      <c r="L364" s="1">
        <v>4.0271084759999999E-2</v>
      </c>
      <c r="M364" s="1"/>
      <c r="N364" s="1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  <c r="BI364" s="17"/>
      <c r="BJ364" s="17"/>
      <c r="BK364" s="17"/>
      <c r="BL364" s="17"/>
      <c r="BM364" s="17"/>
      <c r="BN364" s="17"/>
      <c r="BO364" s="17"/>
      <c r="BP364" s="17"/>
      <c r="BQ364" s="17"/>
      <c r="BR364" s="17"/>
      <c r="BS364" s="17"/>
      <c r="BT364" s="17"/>
      <c r="BU364" s="17"/>
      <c r="BV364" s="17"/>
      <c r="BW364" s="17"/>
      <c r="BX364" s="17"/>
      <c r="BY364" s="17"/>
      <c r="BZ364" s="17"/>
      <c r="CA364" s="17"/>
      <c r="CB364" s="17"/>
      <c r="CC364" s="17"/>
      <c r="CD364" s="17"/>
      <c r="CE364" s="17"/>
      <c r="CF364" s="17"/>
      <c r="CG364" s="17"/>
      <c r="CH364" s="17"/>
      <c r="CI364" s="17"/>
      <c r="CJ364" s="17"/>
      <c r="CK364" s="17"/>
      <c r="CL364" s="17"/>
      <c r="CM364" s="17"/>
      <c r="CN364" s="17"/>
      <c r="CO364" s="17"/>
      <c r="CP364" s="17"/>
      <c r="CQ364" s="17"/>
    </row>
    <row r="365" spans="4:95">
      <c r="D365" s="16">
        <v>743</v>
      </c>
      <c r="E365" s="1">
        <v>4.4477373360000003E-2</v>
      </c>
      <c r="F365" s="1">
        <v>3.1058302150000001E-2</v>
      </c>
      <c r="G365" s="1">
        <v>8.7424032390000003E-2</v>
      </c>
      <c r="H365" s="1">
        <v>6.1282493170000001E-2</v>
      </c>
      <c r="I365" s="1">
        <v>5.4608624430000002E-2</v>
      </c>
      <c r="J365" s="1">
        <v>7.4666969479999998E-2</v>
      </c>
      <c r="K365" s="1">
        <v>3.1624920670000001E-2</v>
      </c>
      <c r="L365" s="1">
        <v>4.0246803310000002E-2</v>
      </c>
      <c r="M365" s="1"/>
      <c r="N365" s="1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  <c r="BI365" s="17"/>
      <c r="BJ365" s="17"/>
      <c r="BK365" s="17"/>
      <c r="BL365" s="17"/>
      <c r="BM365" s="17"/>
      <c r="BN365" s="17"/>
      <c r="BO365" s="17"/>
      <c r="BP365" s="17"/>
      <c r="BQ365" s="17"/>
      <c r="BR365" s="17"/>
      <c r="BS365" s="17"/>
      <c r="BT365" s="17"/>
      <c r="BU365" s="17"/>
      <c r="BV365" s="17"/>
      <c r="BW365" s="17"/>
      <c r="BX365" s="17"/>
      <c r="BY365" s="17"/>
      <c r="BZ365" s="17"/>
      <c r="CA365" s="17"/>
      <c r="CB365" s="17"/>
      <c r="CC365" s="17"/>
      <c r="CD365" s="17"/>
      <c r="CE365" s="17"/>
      <c r="CF365" s="17"/>
      <c r="CG365" s="17"/>
      <c r="CH365" s="17"/>
      <c r="CI365" s="17"/>
      <c r="CJ365" s="17"/>
      <c r="CK365" s="17"/>
      <c r="CL365" s="17"/>
      <c r="CM365" s="17"/>
      <c r="CN365" s="17"/>
      <c r="CO365" s="17"/>
      <c r="CP365" s="17"/>
      <c r="CQ365" s="17"/>
    </row>
    <row r="366" spans="4:95">
      <c r="D366" s="16">
        <v>744</v>
      </c>
      <c r="E366" s="1">
        <v>4.2841736229999997E-2</v>
      </c>
      <c r="F366" s="1">
        <v>3.0284317210000002E-2</v>
      </c>
      <c r="G366" s="1">
        <v>8.6073182519999999E-2</v>
      </c>
      <c r="H366" s="1">
        <v>5.9216167780000002E-2</v>
      </c>
      <c r="I366" s="1">
        <v>5.367073789E-2</v>
      </c>
      <c r="J366" s="1">
        <v>7.3827110230000006E-2</v>
      </c>
      <c r="K366" s="1">
        <v>3.1670525669999998E-2</v>
      </c>
      <c r="L366" s="1">
        <v>4.011572897E-2</v>
      </c>
      <c r="M366" s="1"/>
      <c r="N366" s="1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  <c r="BI366" s="17"/>
      <c r="BJ366" s="17"/>
      <c r="BK366" s="17"/>
      <c r="BL366" s="17"/>
      <c r="BM366" s="17"/>
      <c r="BN366" s="17"/>
      <c r="BO366" s="17"/>
      <c r="BP366" s="17"/>
      <c r="BQ366" s="17"/>
      <c r="BR366" s="17"/>
      <c r="BS366" s="17"/>
      <c r="BT366" s="17"/>
      <c r="BU366" s="17"/>
      <c r="BV366" s="17"/>
      <c r="BW366" s="17"/>
      <c r="BX366" s="17"/>
      <c r="BY366" s="17"/>
      <c r="BZ366" s="17"/>
      <c r="CA366" s="17"/>
      <c r="CB366" s="17"/>
      <c r="CC366" s="17"/>
      <c r="CD366" s="17"/>
      <c r="CE366" s="17"/>
      <c r="CF366" s="17"/>
      <c r="CG366" s="17"/>
      <c r="CH366" s="17"/>
      <c r="CI366" s="17"/>
      <c r="CJ366" s="17"/>
      <c r="CK366" s="17"/>
      <c r="CL366" s="17"/>
      <c r="CM366" s="17"/>
      <c r="CN366" s="17"/>
      <c r="CO366" s="17"/>
      <c r="CP366" s="17"/>
      <c r="CQ366" s="17"/>
    </row>
    <row r="367" spans="4:95">
      <c r="D367" s="16">
        <v>745</v>
      </c>
      <c r="E367" s="1">
        <v>4.166688398E-2</v>
      </c>
      <c r="F367" s="1">
        <v>2.9618363830000001E-2</v>
      </c>
      <c r="G367" s="1">
        <v>8.5375979539999994E-2</v>
      </c>
      <c r="H367" s="1">
        <v>5.7705845679999999E-2</v>
      </c>
      <c r="I367" s="1">
        <v>5.3185541179999997E-2</v>
      </c>
      <c r="J367" s="1">
        <v>7.3847666379999996E-2</v>
      </c>
      <c r="K367" s="1">
        <v>3.1329594549999999E-2</v>
      </c>
      <c r="L367" s="1">
        <v>3.9989721030000001E-2</v>
      </c>
      <c r="M367" s="1"/>
      <c r="N367" s="1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  <c r="BI367" s="17"/>
      <c r="BJ367" s="17"/>
      <c r="BK367" s="17"/>
      <c r="BL367" s="17"/>
      <c r="BM367" s="17"/>
      <c r="BN367" s="17"/>
      <c r="BO367" s="17"/>
      <c r="BP367" s="17"/>
      <c r="BQ367" s="17"/>
      <c r="BR367" s="17"/>
      <c r="BS367" s="17"/>
      <c r="BT367" s="17"/>
      <c r="BU367" s="17"/>
      <c r="BV367" s="17"/>
      <c r="BW367" s="17"/>
      <c r="BX367" s="17"/>
      <c r="BY367" s="17"/>
      <c r="BZ367" s="17"/>
      <c r="CA367" s="17"/>
      <c r="CB367" s="17"/>
      <c r="CC367" s="17"/>
      <c r="CD367" s="17"/>
      <c r="CE367" s="17"/>
      <c r="CF367" s="17"/>
      <c r="CG367" s="17"/>
      <c r="CH367" s="17"/>
      <c r="CI367" s="17"/>
      <c r="CJ367" s="17"/>
      <c r="CK367" s="17"/>
      <c r="CL367" s="17"/>
      <c r="CM367" s="17"/>
      <c r="CN367" s="17"/>
      <c r="CO367" s="17"/>
      <c r="CP367" s="17"/>
      <c r="CQ367" s="17"/>
    </row>
    <row r="368" spans="4:95">
      <c r="D368" s="16">
        <v>746</v>
      </c>
      <c r="E368" s="1">
        <v>3.9945274590000003E-2</v>
      </c>
      <c r="F368" s="1">
        <v>2.905618213E-2</v>
      </c>
      <c r="G368" s="1">
        <v>8.3970226349999996E-2</v>
      </c>
      <c r="H368" s="1">
        <v>5.6088108570000003E-2</v>
      </c>
      <c r="I368" s="1">
        <v>5.2225582299999997E-2</v>
      </c>
      <c r="J368" s="1">
        <v>7.3585703969999999E-2</v>
      </c>
      <c r="K368" s="1">
        <v>3.1225468959999999E-2</v>
      </c>
      <c r="L368" s="1">
        <v>3.9699971680000001E-2</v>
      </c>
      <c r="M368" s="1"/>
      <c r="N368" s="1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  <c r="BI368" s="17"/>
      <c r="BJ368" s="17"/>
      <c r="BK368" s="17"/>
      <c r="BL368" s="17"/>
      <c r="BM368" s="17"/>
      <c r="BN368" s="17"/>
      <c r="BO368" s="17"/>
      <c r="BP368" s="17"/>
      <c r="BQ368" s="17"/>
      <c r="BR368" s="17"/>
      <c r="BS368" s="17"/>
      <c r="BT368" s="17"/>
      <c r="BU368" s="17"/>
      <c r="BV368" s="17"/>
      <c r="BW368" s="17"/>
      <c r="BX368" s="17"/>
      <c r="BY368" s="17"/>
      <c r="BZ368" s="17"/>
      <c r="CA368" s="17"/>
      <c r="CB368" s="17"/>
      <c r="CC368" s="17"/>
      <c r="CD368" s="17"/>
      <c r="CE368" s="17"/>
      <c r="CF368" s="17"/>
      <c r="CG368" s="17"/>
      <c r="CH368" s="17"/>
      <c r="CI368" s="17"/>
      <c r="CJ368" s="17"/>
      <c r="CK368" s="17"/>
      <c r="CL368" s="17"/>
      <c r="CM368" s="17"/>
      <c r="CN368" s="17"/>
      <c r="CO368" s="17"/>
      <c r="CP368" s="17"/>
      <c r="CQ368" s="17"/>
    </row>
    <row r="369" spans="4:95">
      <c r="D369" s="16">
        <v>747</v>
      </c>
      <c r="E369" s="1">
        <v>3.8773551580000003E-2</v>
      </c>
      <c r="F369" s="1">
        <v>2.8554216029999999E-2</v>
      </c>
      <c r="G369" s="1">
        <v>8.2833379509999999E-2</v>
      </c>
      <c r="H369" s="1">
        <v>5.4803084580000001E-2</v>
      </c>
      <c r="I369" s="1">
        <v>5.1997464149999999E-2</v>
      </c>
      <c r="J369" s="1">
        <v>7.3325432839999996E-2</v>
      </c>
      <c r="K369" s="1">
        <v>3.1507361679999998E-2</v>
      </c>
      <c r="L369" s="1">
        <v>3.950481862E-2</v>
      </c>
      <c r="M369" s="1"/>
      <c r="N369" s="1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  <c r="BI369" s="17"/>
      <c r="BJ369" s="17"/>
      <c r="BK369" s="17"/>
      <c r="BL369" s="17"/>
      <c r="BM369" s="17"/>
      <c r="BN369" s="17"/>
      <c r="BO369" s="17"/>
      <c r="BP369" s="17"/>
      <c r="BQ369" s="17"/>
      <c r="BR369" s="17"/>
      <c r="BS369" s="17"/>
      <c r="BT369" s="17"/>
      <c r="BU369" s="17"/>
      <c r="BV369" s="17"/>
      <c r="BW369" s="17"/>
      <c r="BX369" s="17"/>
      <c r="BY369" s="17"/>
      <c r="BZ369" s="17"/>
      <c r="CA369" s="17"/>
      <c r="CB369" s="17"/>
      <c r="CC369" s="17"/>
      <c r="CD369" s="17"/>
      <c r="CE369" s="17"/>
      <c r="CF369" s="17"/>
      <c r="CG369" s="17"/>
      <c r="CH369" s="17"/>
      <c r="CI369" s="17"/>
      <c r="CJ369" s="17"/>
      <c r="CK369" s="17"/>
      <c r="CL369" s="17"/>
      <c r="CM369" s="17"/>
      <c r="CN369" s="17"/>
      <c r="CO369" s="17"/>
      <c r="CP369" s="17"/>
      <c r="CQ369" s="17"/>
    </row>
    <row r="370" spans="4:95">
      <c r="D370" s="16">
        <v>748</v>
      </c>
      <c r="E370" s="1">
        <v>3.7034090610000001E-2</v>
      </c>
      <c r="F370" s="1">
        <v>2.745610289E-2</v>
      </c>
      <c r="G370" s="1">
        <v>8.2437388599999994E-2</v>
      </c>
      <c r="H370" s="1">
        <v>5.3495582190000002E-2</v>
      </c>
      <c r="I370" s="1">
        <v>5.1193144170000003E-2</v>
      </c>
      <c r="J370" s="1">
        <v>7.2840072209999995E-2</v>
      </c>
      <c r="K370" s="1">
        <v>3.1118253249999998E-2</v>
      </c>
      <c r="L370" s="1">
        <v>3.9614237839999997E-2</v>
      </c>
      <c r="M370" s="1"/>
      <c r="N370" s="1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  <c r="BI370" s="17"/>
      <c r="BJ370" s="17"/>
      <c r="BK370" s="17"/>
      <c r="BL370" s="17"/>
      <c r="BM370" s="17"/>
      <c r="BN370" s="17"/>
      <c r="BO370" s="17"/>
      <c r="BP370" s="17"/>
      <c r="BQ370" s="17"/>
      <c r="BR370" s="17"/>
      <c r="BS370" s="17"/>
      <c r="BT370" s="17"/>
      <c r="BU370" s="17"/>
      <c r="BV370" s="17"/>
      <c r="BW370" s="17"/>
      <c r="BX370" s="17"/>
      <c r="BY370" s="17"/>
      <c r="BZ370" s="17"/>
      <c r="CA370" s="17"/>
      <c r="CB370" s="17"/>
      <c r="CC370" s="17"/>
      <c r="CD370" s="17"/>
      <c r="CE370" s="17"/>
      <c r="CF370" s="17"/>
      <c r="CG370" s="17"/>
      <c r="CH370" s="17"/>
      <c r="CI370" s="17"/>
      <c r="CJ370" s="17"/>
      <c r="CK370" s="17"/>
      <c r="CL370" s="17"/>
      <c r="CM370" s="17"/>
      <c r="CN370" s="17"/>
      <c r="CO370" s="17"/>
      <c r="CP370" s="17"/>
      <c r="CQ370" s="17"/>
    </row>
    <row r="371" spans="4:95">
      <c r="D371" s="16">
        <v>749</v>
      </c>
      <c r="E371" s="1">
        <v>3.4755233679999997E-2</v>
      </c>
      <c r="F371" s="1">
        <v>2.6500072329999999E-2</v>
      </c>
      <c r="G371" s="1">
        <v>8.0345198509999993E-2</v>
      </c>
      <c r="H371" s="1">
        <v>5.1356129350000002E-2</v>
      </c>
      <c r="I371" s="1">
        <v>5.0349242990000001E-2</v>
      </c>
      <c r="J371" s="1">
        <v>7.2013117370000004E-2</v>
      </c>
      <c r="K371" s="1">
        <v>3.0800014729999999E-2</v>
      </c>
      <c r="L371" s="1">
        <v>3.9218481630000003E-2</v>
      </c>
      <c r="M371" s="1"/>
      <c r="N371" s="1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  <c r="BI371" s="17"/>
      <c r="BJ371" s="17"/>
      <c r="BK371" s="17"/>
      <c r="BL371" s="17"/>
      <c r="BM371" s="17"/>
      <c r="BN371" s="17"/>
      <c r="BO371" s="17"/>
      <c r="BP371" s="17"/>
      <c r="BQ371" s="17"/>
      <c r="BR371" s="17"/>
      <c r="BS371" s="17"/>
      <c r="BT371" s="17"/>
      <c r="BU371" s="17"/>
      <c r="BV371" s="17"/>
      <c r="BW371" s="17"/>
      <c r="BX371" s="17"/>
      <c r="BY371" s="17"/>
      <c r="BZ371" s="17"/>
      <c r="CA371" s="17"/>
      <c r="CB371" s="17"/>
      <c r="CC371" s="17"/>
      <c r="CD371" s="17"/>
      <c r="CE371" s="17"/>
      <c r="CF371" s="17"/>
      <c r="CG371" s="17"/>
      <c r="CH371" s="17"/>
      <c r="CI371" s="17"/>
      <c r="CJ371" s="17"/>
      <c r="CK371" s="17"/>
      <c r="CL371" s="17"/>
      <c r="CM371" s="17"/>
      <c r="CN371" s="17"/>
      <c r="CO371" s="17"/>
      <c r="CP371" s="17"/>
      <c r="CQ371" s="17"/>
    </row>
    <row r="372" spans="4:95">
      <c r="D372" s="16">
        <v>750</v>
      </c>
      <c r="E372" s="1">
        <v>3.3824149519999999E-2</v>
      </c>
      <c r="F372" s="1">
        <v>2.6077322659999999E-2</v>
      </c>
      <c r="G372" s="1">
        <v>7.9521596429999994E-2</v>
      </c>
      <c r="H372" s="1">
        <v>5.0129454580000003E-2</v>
      </c>
      <c r="I372" s="1">
        <v>4.985298589E-2</v>
      </c>
      <c r="J372" s="1">
        <v>7.1850262580000004E-2</v>
      </c>
      <c r="K372" s="1">
        <v>3.0639426779999999E-2</v>
      </c>
      <c r="L372" s="1">
        <v>3.9246588950000001E-2</v>
      </c>
      <c r="M372" s="1"/>
      <c r="N372" s="1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  <c r="BI372" s="17"/>
      <c r="BJ372" s="17"/>
      <c r="BK372" s="17"/>
      <c r="BL372" s="17"/>
      <c r="BM372" s="17"/>
      <c r="BN372" s="17"/>
      <c r="BO372" s="17"/>
      <c r="BP372" s="17"/>
      <c r="BQ372" s="17"/>
      <c r="BR372" s="17"/>
      <c r="BS372" s="17"/>
      <c r="BT372" s="17"/>
      <c r="BU372" s="17"/>
      <c r="BV372" s="17"/>
      <c r="BW372" s="17"/>
      <c r="BX372" s="17"/>
      <c r="BY372" s="17"/>
      <c r="BZ372" s="17"/>
      <c r="CA372" s="17"/>
      <c r="CB372" s="17"/>
      <c r="CC372" s="17"/>
      <c r="CD372" s="17"/>
      <c r="CE372" s="17"/>
      <c r="CF372" s="17"/>
      <c r="CG372" s="17"/>
      <c r="CH372" s="17"/>
      <c r="CI372" s="17"/>
      <c r="CJ372" s="17"/>
      <c r="CK372" s="17"/>
      <c r="CL372" s="17"/>
      <c r="CM372" s="17"/>
      <c r="CN372" s="17"/>
      <c r="CO372" s="17"/>
      <c r="CP372" s="17"/>
      <c r="CQ372" s="17"/>
    </row>
    <row r="373" spans="4:95">
      <c r="D373" s="16">
        <v>751</v>
      </c>
      <c r="E373" s="1">
        <v>3.2584469769999999E-2</v>
      </c>
      <c r="F373" s="1">
        <v>2.5429284199999999E-2</v>
      </c>
      <c r="G373" s="1">
        <v>7.843644172E-2</v>
      </c>
      <c r="H373" s="1">
        <v>4.9068104479999999E-2</v>
      </c>
      <c r="I373" s="1">
        <v>4.9447648230000002E-2</v>
      </c>
      <c r="J373" s="1">
        <v>7.1907348930000003E-2</v>
      </c>
      <c r="K373" s="1">
        <v>3.09475679E-2</v>
      </c>
      <c r="L373" s="1">
        <v>3.9276737720000003E-2</v>
      </c>
      <c r="M373" s="1"/>
      <c r="N373" s="1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  <c r="BI373" s="17"/>
      <c r="BJ373" s="17"/>
      <c r="BK373" s="17"/>
      <c r="BL373" s="17"/>
      <c r="BM373" s="17"/>
      <c r="BN373" s="17"/>
      <c r="BO373" s="17"/>
      <c r="BP373" s="17"/>
      <c r="BQ373" s="17"/>
      <c r="BR373" s="17"/>
      <c r="BS373" s="17"/>
      <c r="BT373" s="17"/>
      <c r="BU373" s="17"/>
      <c r="BV373" s="17"/>
      <c r="BW373" s="17"/>
      <c r="BX373" s="17"/>
      <c r="BY373" s="17"/>
      <c r="BZ373" s="17"/>
      <c r="CA373" s="17"/>
      <c r="CB373" s="17"/>
      <c r="CC373" s="17"/>
      <c r="CD373" s="17"/>
      <c r="CE373" s="17"/>
      <c r="CF373" s="17"/>
      <c r="CG373" s="17"/>
      <c r="CH373" s="17"/>
      <c r="CI373" s="17"/>
      <c r="CJ373" s="17"/>
      <c r="CK373" s="17"/>
      <c r="CL373" s="17"/>
      <c r="CM373" s="17"/>
      <c r="CN373" s="17"/>
      <c r="CO373" s="17"/>
      <c r="CP373" s="17"/>
      <c r="CQ373" s="17"/>
    </row>
    <row r="374" spans="4:95">
      <c r="D374" s="16">
        <v>752</v>
      </c>
      <c r="E374" s="1">
        <v>3.1172595920000001E-2</v>
      </c>
      <c r="F374" s="1">
        <v>2.4738747629999999E-2</v>
      </c>
      <c r="G374" s="1">
        <v>7.7417321499999997E-2</v>
      </c>
      <c r="H374" s="1">
        <v>4.7433223580000003E-2</v>
      </c>
      <c r="I374" s="1">
        <v>4.889992252E-2</v>
      </c>
      <c r="J374" s="1">
        <v>7.1102015670000004E-2</v>
      </c>
      <c r="K374" s="1">
        <v>3.0381221319999999E-2</v>
      </c>
      <c r="L374" s="1">
        <v>3.898491338E-2</v>
      </c>
      <c r="M374" s="1"/>
      <c r="N374" s="1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  <c r="BI374" s="17"/>
      <c r="BJ374" s="17"/>
      <c r="BK374" s="17"/>
      <c r="BL374" s="17"/>
      <c r="BM374" s="17"/>
      <c r="BN374" s="17"/>
      <c r="BO374" s="17"/>
      <c r="BP374" s="17"/>
      <c r="BQ374" s="17"/>
      <c r="BR374" s="17"/>
      <c r="BS374" s="17"/>
      <c r="BT374" s="17"/>
      <c r="BU374" s="17"/>
      <c r="BV374" s="17"/>
      <c r="BW374" s="17"/>
      <c r="BX374" s="17"/>
      <c r="BY374" s="17"/>
      <c r="BZ374" s="17"/>
      <c r="CA374" s="17"/>
      <c r="CB374" s="17"/>
      <c r="CC374" s="17"/>
      <c r="CD374" s="17"/>
      <c r="CE374" s="17"/>
      <c r="CF374" s="17"/>
      <c r="CG374" s="17"/>
      <c r="CH374" s="17"/>
      <c r="CI374" s="17"/>
      <c r="CJ374" s="17"/>
      <c r="CK374" s="17"/>
      <c r="CL374" s="17"/>
      <c r="CM374" s="17"/>
      <c r="CN374" s="17"/>
      <c r="CO374" s="17"/>
      <c r="CP374" s="17"/>
      <c r="CQ374" s="17"/>
    </row>
    <row r="375" spans="4:95">
      <c r="D375" s="16">
        <v>753</v>
      </c>
      <c r="E375" s="1">
        <v>2.9953097920000001E-2</v>
      </c>
      <c r="F375" s="1">
        <v>2.4197019640000001E-2</v>
      </c>
      <c r="G375" s="1">
        <v>7.6434843239999994E-2</v>
      </c>
      <c r="H375" s="1">
        <v>4.6549472959999998E-2</v>
      </c>
      <c r="I375" s="1">
        <v>4.8358242959999999E-2</v>
      </c>
      <c r="J375" s="1">
        <v>7.1242019530000006E-2</v>
      </c>
      <c r="K375" s="1">
        <v>3.044671752E-2</v>
      </c>
      <c r="L375" s="1">
        <v>3.8902435450000002E-2</v>
      </c>
      <c r="M375" s="1"/>
      <c r="N375" s="1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  <c r="BI375" s="17"/>
      <c r="BJ375" s="17"/>
      <c r="BK375" s="17"/>
      <c r="BL375" s="17"/>
      <c r="BM375" s="17"/>
      <c r="BN375" s="17"/>
      <c r="BO375" s="17"/>
      <c r="BP375" s="17"/>
      <c r="BQ375" s="17"/>
      <c r="BR375" s="17"/>
      <c r="BS375" s="17"/>
      <c r="BT375" s="17"/>
      <c r="BU375" s="17"/>
      <c r="BV375" s="17"/>
      <c r="BW375" s="17"/>
      <c r="BX375" s="17"/>
      <c r="BY375" s="17"/>
      <c r="BZ375" s="17"/>
      <c r="CA375" s="17"/>
      <c r="CB375" s="17"/>
      <c r="CC375" s="17"/>
      <c r="CD375" s="17"/>
      <c r="CE375" s="17"/>
      <c r="CF375" s="17"/>
      <c r="CG375" s="17"/>
      <c r="CH375" s="17"/>
      <c r="CI375" s="17"/>
      <c r="CJ375" s="17"/>
      <c r="CK375" s="17"/>
      <c r="CL375" s="17"/>
      <c r="CM375" s="17"/>
      <c r="CN375" s="17"/>
      <c r="CO375" s="17"/>
      <c r="CP375" s="17"/>
      <c r="CQ375" s="17"/>
    </row>
    <row r="376" spans="4:95">
      <c r="D376" s="16">
        <v>754</v>
      </c>
      <c r="E376" s="1">
        <v>2.8503103179999999E-2</v>
      </c>
      <c r="F376" s="1">
        <v>2.3283222690000001E-2</v>
      </c>
      <c r="G376" s="1">
        <v>7.550712675E-2</v>
      </c>
      <c r="H376" s="1">
        <v>4.5502312480000001E-2</v>
      </c>
      <c r="I376" s="1">
        <v>4.7604851419999997E-2</v>
      </c>
      <c r="J376" s="1">
        <v>7.0864103730000003E-2</v>
      </c>
      <c r="K376" s="1">
        <v>3.0220013109999999E-2</v>
      </c>
      <c r="L376" s="1">
        <v>3.8566108789999998E-2</v>
      </c>
      <c r="M376" s="1"/>
      <c r="N376" s="1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  <c r="BI376" s="17"/>
      <c r="BJ376" s="17"/>
      <c r="BK376" s="17"/>
      <c r="BL376" s="17"/>
      <c r="BM376" s="17"/>
      <c r="BN376" s="17"/>
      <c r="BO376" s="17"/>
      <c r="BP376" s="17"/>
      <c r="BQ376" s="17"/>
      <c r="BR376" s="17"/>
      <c r="BS376" s="17"/>
      <c r="BT376" s="17"/>
      <c r="BU376" s="17"/>
      <c r="BV376" s="17"/>
      <c r="BW376" s="17"/>
      <c r="BX376" s="17"/>
      <c r="BY376" s="17"/>
      <c r="BZ376" s="17"/>
      <c r="CA376" s="17"/>
      <c r="CB376" s="17"/>
      <c r="CC376" s="17"/>
      <c r="CD376" s="17"/>
      <c r="CE376" s="17"/>
      <c r="CF376" s="17"/>
      <c r="CG376" s="17"/>
      <c r="CH376" s="17"/>
      <c r="CI376" s="17"/>
      <c r="CJ376" s="17"/>
      <c r="CK376" s="17"/>
      <c r="CL376" s="17"/>
      <c r="CM376" s="17"/>
      <c r="CN376" s="17"/>
      <c r="CO376" s="17"/>
      <c r="CP376" s="17"/>
      <c r="CQ376" s="17"/>
    </row>
    <row r="377" spans="4:95">
      <c r="D377" s="16">
        <v>755</v>
      </c>
      <c r="E377" s="1">
        <v>2.7979053560000001E-2</v>
      </c>
      <c r="F377" s="1">
        <v>2.3380625990000001E-2</v>
      </c>
      <c r="G377" s="1">
        <v>7.4988491830000004E-2</v>
      </c>
      <c r="H377" s="1">
        <v>4.4597461820000003E-2</v>
      </c>
      <c r="I377" s="1">
        <v>4.7149952500000002E-2</v>
      </c>
      <c r="J377" s="1">
        <v>7.0716783399999997E-2</v>
      </c>
      <c r="K377" s="1">
        <v>3.0269579960000001E-2</v>
      </c>
      <c r="L377" s="1">
        <v>3.8587525490000003E-2</v>
      </c>
      <c r="M377" s="1"/>
      <c r="N377" s="1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  <c r="BI377" s="17"/>
      <c r="BJ377" s="17"/>
      <c r="BK377" s="17"/>
      <c r="BL377" s="17"/>
      <c r="BM377" s="17"/>
      <c r="BN377" s="17"/>
      <c r="BO377" s="17"/>
      <c r="BP377" s="17"/>
      <c r="BQ377" s="17"/>
      <c r="BR377" s="17"/>
      <c r="BS377" s="17"/>
      <c r="BT377" s="17"/>
      <c r="BU377" s="17"/>
      <c r="BV377" s="17"/>
      <c r="BW377" s="17"/>
      <c r="BX377" s="17"/>
      <c r="BY377" s="17"/>
      <c r="BZ377" s="17"/>
      <c r="CA377" s="17"/>
      <c r="CB377" s="17"/>
      <c r="CC377" s="17"/>
      <c r="CD377" s="17"/>
      <c r="CE377" s="17"/>
      <c r="CF377" s="1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</row>
    <row r="378" spans="4:95">
      <c r="D378" s="16">
        <v>756</v>
      </c>
      <c r="E378" s="1">
        <v>2.676324733E-2</v>
      </c>
      <c r="F378" s="1">
        <v>2.2875050080000001E-2</v>
      </c>
      <c r="G378" s="1">
        <v>7.3795907199999997E-2</v>
      </c>
      <c r="H378" s="1">
        <v>4.37220335E-2</v>
      </c>
      <c r="I378" s="1">
        <v>4.7040406610000002E-2</v>
      </c>
      <c r="J378" s="1">
        <v>7.0489406589999998E-2</v>
      </c>
      <c r="K378" s="1">
        <v>3.026610985E-2</v>
      </c>
      <c r="L378" s="1">
        <v>3.878294677E-2</v>
      </c>
      <c r="M378" s="1"/>
      <c r="N378" s="1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  <c r="BI378" s="17"/>
      <c r="BJ378" s="17"/>
      <c r="BK378" s="17"/>
      <c r="BL378" s="17"/>
      <c r="BM378" s="17"/>
      <c r="BN378" s="17"/>
      <c r="BO378" s="17"/>
      <c r="BP378" s="17"/>
      <c r="BQ378" s="17"/>
      <c r="BR378" s="17"/>
      <c r="BS378" s="17"/>
      <c r="BT378" s="17"/>
      <c r="BU378" s="17"/>
      <c r="BV378" s="17"/>
      <c r="BW378" s="17"/>
      <c r="BX378" s="17"/>
      <c r="BY378" s="17"/>
      <c r="BZ378" s="17"/>
      <c r="CA378" s="17"/>
      <c r="CB378" s="17"/>
      <c r="CC378" s="17"/>
      <c r="CD378" s="17"/>
      <c r="CE378" s="17"/>
      <c r="CF378" s="1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</row>
    <row r="379" spans="4:95">
      <c r="D379" s="16">
        <v>757</v>
      </c>
      <c r="E379" s="1">
        <v>2.5517918170000001E-2</v>
      </c>
      <c r="F379" s="1">
        <v>2.2144319490000001E-2</v>
      </c>
      <c r="G379" s="1">
        <v>7.2879016399999996E-2</v>
      </c>
      <c r="H379" s="1">
        <v>4.2126256969999998E-2</v>
      </c>
      <c r="I379" s="1">
        <v>4.6553563329999999E-2</v>
      </c>
      <c r="J379" s="1">
        <v>6.9579698149999994E-2</v>
      </c>
      <c r="K379" s="1">
        <v>2.9900489370000002E-2</v>
      </c>
      <c r="L379" s="1">
        <v>3.854873776E-2</v>
      </c>
      <c r="M379" s="1"/>
      <c r="N379" s="1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  <c r="BI379" s="17"/>
      <c r="BJ379" s="17"/>
      <c r="BK379" s="17"/>
      <c r="BL379" s="17"/>
      <c r="BM379" s="17"/>
      <c r="BN379" s="17"/>
      <c r="BO379" s="17"/>
      <c r="BP379" s="17"/>
      <c r="BQ379" s="17"/>
      <c r="BR379" s="17"/>
      <c r="BS379" s="17"/>
      <c r="BT379" s="17"/>
      <c r="BU379" s="17"/>
      <c r="BV379" s="17"/>
      <c r="BW379" s="17"/>
      <c r="BX379" s="17"/>
      <c r="BY379" s="17"/>
      <c r="BZ379" s="17"/>
      <c r="CA379" s="17"/>
      <c r="CB379" s="17"/>
      <c r="CC379" s="17"/>
      <c r="CD379" s="17"/>
      <c r="CE379" s="17"/>
      <c r="CF379" s="17"/>
      <c r="CG379" s="17"/>
      <c r="CH379" s="17"/>
      <c r="CI379" s="17"/>
      <c r="CJ379" s="17"/>
      <c r="CK379" s="17"/>
      <c r="CL379" s="17"/>
      <c r="CM379" s="17"/>
      <c r="CN379" s="17"/>
      <c r="CO379" s="17"/>
      <c r="CP379" s="17"/>
      <c r="CQ379" s="17"/>
    </row>
    <row r="380" spans="4:95">
      <c r="D380" s="16">
        <v>758</v>
      </c>
      <c r="E380" s="1">
        <v>2.4632627139999998E-2</v>
      </c>
      <c r="F380" s="1">
        <v>2.16514729E-2</v>
      </c>
      <c r="G380" s="1">
        <v>7.2194896640000006E-2</v>
      </c>
      <c r="H380" s="1">
        <v>4.1711419819999998E-2</v>
      </c>
      <c r="I380" s="1">
        <v>4.6043548730000002E-2</v>
      </c>
      <c r="J380" s="1">
        <v>6.9571495060000002E-2</v>
      </c>
      <c r="K380" s="1">
        <v>3.0589124190000001E-2</v>
      </c>
      <c r="L380" s="1">
        <v>3.8948103790000001E-2</v>
      </c>
      <c r="M380" s="1"/>
      <c r="N380" s="1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  <c r="BI380" s="17"/>
      <c r="BJ380" s="17"/>
      <c r="BK380" s="17"/>
      <c r="BL380" s="17"/>
      <c r="BM380" s="17"/>
      <c r="BN380" s="17"/>
      <c r="BO380" s="17"/>
      <c r="BP380" s="17"/>
      <c r="BQ380" s="17"/>
      <c r="BR380" s="17"/>
      <c r="BS380" s="17"/>
      <c r="BT380" s="17"/>
      <c r="BU380" s="17"/>
      <c r="BV380" s="17"/>
      <c r="BW380" s="17"/>
      <c r="BX380" s="17"/>
      <c r="BY380" s="17"/>
      <c r="BZ380" s="17"/>
      <c r="CA380" s="17"/>
      <c r="CB380" s="17"/>
      <c r="CC380" s="17"/>
      <c r="CD380" s="17"/>
      <c r="CE380" s="17"/>
      <c r="CF380" s="17"/>
      <c r="CG380" s="17"/>
      <c r="CH380" s="17"/>
      <c r="CI380" s="17"/>
      <c r="CJ380" s="17"/>
      <c r="CK380" s="17"/>
      <c r="CL380" s="17"/>
      <c r="CM380" s="17"/>
      <c r="CN380" s="17"/>
      <c r="CO380" s="17"/>
      <c r="CP380" s="17"/>
      <c r="CQ380" s="17"/>
    </row>
    <row r="381" spans="4:95">
      <c r="D381" s="16">
        <v>759</v>
      </c>
      <c r="E381" s="1">
        <v>2.4084437640000001E-2</v>
      </c>
      <c r="F381" s="1">
        <v>2.1076841280000001E-2</v>
      </c>
      <c r="G381" s="1">
        <v>7.1356624359999996E-2</v>
      </c>
      <c r="H381" s="1">
        <v>4.0898066009999998E-2</v>
      </c>
      <c r="I381" s="1">
        <v>4.5616358519999997E-2</v>
      </c>
      <c r="J381" s="1">
        <v>6.9254837929999993E-2</v>
      </c>
      <c r="K381" s="1">
        <v>2.9923284429999999E-2</v>
      </c>
      <c r="L381" s="1">
        <v>3.8908608259999998E-2</v>
      </c>
      <c r="M381" s="1"/>
      <c r="N381" s="1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  <c r="BI381" s="17"/>
      <c r="BJ381" s="17"/>
      <c r="BK381" s="17"/>
      <c r="BL381" s="17"/>
      <c r="BM381" s="17"/>
      <c r="BN381" s="17"/>
      <c r="BO381" s="17"/>
      <c r="BP381" s="17"/>
      <c r="BQ381" s="17"/>
      <c r="BR381" s="17"/>
      <c r="BS381" s="17"/>
      <c r="BT381" s="17"/>
      <c r="BU381" s="17"/>
      <c r="BV381" s="17"/>
      <c r="BW381" s="17"/>
      <c r="BX381" s="17"/>
      <c r="BY381" s="17"/>
      <c r="BZ381" s="17"/>
      <c r="CA381" s="17"/>
      <c r="CB381" s="17"/>
      <c r="CC381" s="17"/>
      <c r="CD381" s="17"/>
      <c r="CE381" s="17"/>
      <c r="CF381" s="17"/>
      <c r="CG381" s="17"/>
      <c r="CH381" s="17"/>
      <c r="CI381" s="17"/>
      <c r="CJ381" s="17"/>
      <c r="CK381" s="17"/>
      <c r="CL381" s="17"/>
      <c r="CM381" s="17"/>
      <c r="CN381" s="17"/>
      <c r="CO381" s="17"/>
      <c r="CP381" s="17"/>
      <c r="CQ381" s="17"/>
    </row>
    <row r="382" spans="4:95">
      <c r="D382" s="16">
        <v>760</v>
      </c>
      <c r="E382" s="1">
        <v>2.2622101009999999E-2</v>
      </c>
      <c r="F382" s="1">
        <v>2.0627465099999999E-2</v>
      </c>
      <c r="G382" s="1">
        <v>7.0372924210000007E-2</v>
      </c>
      <c r="H382" s="1">
        <v>3.9398770780000002E-2</v>
      </c>
      <c r="I382" s="1">
        <v>4.524310678E-2</v>
      </c>
      <c r="J382" s="1">
        <v>6.8985611200000005E-2</v>
      </c>
      <c r="K382" s="1">
        <v>2.979423665E-2</v>
      </c>
      <c r="L382" s="1">
        <v>3.8889270279999999E-2</v>
      </c>
      <c r="M382" s="1"/>
      <c r="N382" s="1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  <c r="BI382" s="17"/>
      <c r="BJ382" s="17"/>
      <c r="BK382" s="17"/>
      <c r="BL382" s="17"/>
      <c r="BM382" s="17"/>
      <c r="BN382" s="17"/>
      <c r="BO382" s="17"/>
      <c r="BP382" s="17"/>
      <c r="BQ382" s="17"/>
      <c r="BR382" s="17"/>
      <c r="BS382" s="17"/>
      <c r="BT382" s="17"/>
      <c r="BU382" s="17"/>
      <c r="BV382" s="17"/>
      <c r="BW382" s="17"/>
      <c r="BX382" s="17"/>
      <c r="BY382" s="17"/>
      <c r="BZ382" s="17"/>
      <c r="CA382" s="17"/>
      <c r="CB382" s="17"/>
      <c r="CC382" s="17"/>
      <c r="CD382" s="17"/>
      <c r="CE382" s="17"/>
      <c r="CF382" s="17"/>
      <c r="CG382" s="17"/>
      <c r="CH382" s="17"/>
      <c r="CI382" s="17"/>
      <c r="CJ382" s="17"/>
      <c r="CK382" s="17"/>
      <c r="CL382" s="17"/>
      <c r="CM382" s="17"/>
      <c r="CN382" s="17"/>
      <c r="CO382" s="17"/>
      <c r="CP382" s="17"/>
      <c r="CQ382" s="17"/>
    </row>
    <row r="383" spans="4:95">
      <c r="D383" s="16">
        <v>761</v>
      </c>
      <c r="E383" s="1">
        <v>2.154077217E-2</v>
      </c>
      <c r="F383" s="1">
        <v>1.9753944129999999E-2</v>
      </c>
      <c r="G383" s="1">
        <v>6.9420337679999999E-2</v>
      </c>
      <c r="H383" s="1">
        <v>3.8457375019999997E-2</v>
      </c>
      <c r="I383" s="1">
        <v>4.440175742E-2</v>
      </c>
      <c r="J383" s="1">
        <v>6.8383067850000007E-2</v>
      </c>
      <c r="K383" s="1">
        <v>2.9621023680000001E-2</v>
      </c>
      <c r="L383" s="1">
        <v>3.8621954620000003E-2</v>
      </c>
      <c r="M383" s="1"/>
      <c r="N383" s="1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  <c r="BI383" s="17"/>
      <c r="BJ383" s="17"/>
      <c r="BK383" s="17"/>
      <c r="BL383" s="17"/>
      <c r="BM383" s="17"/>
      <c r="BN383" s="17"/>
      <c r="BO383" s="17"/>
      <c r="BP383" s="17"/>
      <c r="BQ383" s="17"/>
      <c r="BR383" s="17"/>
      <c r="BS383" s="17"/>
      <c r="BT383" s="17"/>
      <c r="BU383" s="17"/>
      <c r="BV383" s="17"/>
      <c r="BW383" s="17"/>
      <c r="BX383" s="17"/>
      <c r="BY383" s="17"/>
      <c r="BZ383" s="17"/>
      <c r="CA383" s="17"/>
      <c r="CB383" s="17"/>
      <c r="CC383" s="17"/>
      <c r="CD383" s="17"/>
      <c r="CE383" s="17"/>
      <c r="CF383" s="17"/>
      <c r="CG383" s="17"/>
      <c r="CH383" s="17"/>
      <c r="CI383" s="17"/>
      <c r="CJ383" s="17"/>
      <c r="CK383" s="17"/>
      <c r="CL383" s="17"/>
      <c r="CM383" s="17"/>
      <c r="CN383" s="17"/>
      <c r="CO383" s="17"/>
      <c r="CP383" s="17"/>
      <c r="CQ383" s="17"/>
    </row>
    <row r="384" spans="4:95">
      <c r="D384" s="16">
        <v>762</v>
      </c>
      <c r="E384" s="1">
        <v>2.109814435E-2</v>
      </c>
      <c r="F384" s="1">
        <v>1.984324493E-2</v>
      </c>
      <c r="G384" s="1">
        <v>6.9077320400000003E-2</v>
      </c>
      <c r="H384" s="1">
        <v>3.781563416E-2</v>
      </c>
      <c r="I384" s="1">
        <v>4.4348027560000003E-2</v>
      </c>
      <c r="J384" s="1">
        <v>6.8268306550000005E-2</v>
      </c>
      <c r="K384" s="1">
        <v>2.9409319159999999E-2</v>
      </c>
      <c r="L384" s="1">
        <v>3.8491912189999998E-2</v>
      </c>
      <c r="M384" s="1"/>
      <c r="N384" s="1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  <c r="BI384" s="17"/>
      <c r="BJ384" s="17"/>
      <c r="BK384" s="17"/>
      <c r="BL384" s="17"/>
      <c r="BM384" s="17"/>
      <c r="BN384" s="17"/>
      <c r="BO384" s="17"/>
      <c r="BP384" s="17"/>
      <c r="BQ384" s="17"/>
      <c r="BR384" s="17"/>
      <c r="BS384" s="17"/>
      <c r="BT384" s="17"/>
      <c r="BU384" s="17"/>
      <c r="BV384" s="17"/>
      <c r="BW384" s="17"/>
      <c r="BX384" s="17"/>
      <c r="BY384" s="17"/>
      <c r="BZ384" s="17"/>
      <c r="CA384" s="17"/>
      <c r="CB384" s="17"/>
      <c r="CC384" s="17"/>
      <c r="CD384" s="17"/>
      <c r="CE384" s="17"/>
      <c r="CF384" s="17"/>
      <c r="CG384" s="17"/>
      <c r="CH384" s="17"/>
      <c r="CI384" s="17"/>
      <c r="CJ384" s="17"/>
      <c r="CK384" s="17"/>
      <c r="CL384" s="17"/>
      <c r="CM384" s="17"/>
      <c r="CN384" s="17"/>
      <c r="CO384" s="17"/>
      <c r="CP384" s="17"/>
      <c r="CQ384" s="17"/>
    </row>
    <row r="385" spans="4:95">
      <c r="D385" s="16">
        <v>763</v>
      </c>
      <c r="E385" s="1">
        <v>2.009805106E-2</v>
      </c>
      <c r="F385" s="1">
        <v>1.894363575E-2</v>
      </c>
      <c r="G385" s="1">
        <v>6.8942710759999998E-2</v>
      </c>
      <c r="H385" s="1">
        <v>3.7058815359999997E-2</v>
      </c>
      <c r="I385" s="1">
        <v>4.3713703749999999E-2</v>
      </c>
      <c r="J385" s="1">
        <v>6.8402886390000001E-2</v>
      </c>
      <c r="K385" s="1">
        <v>2.981189825E-2</v>
      </c>
      <c r="L385" s="1">
        <v>3.8914073260000001E-2</v>
      </c>
      <c r="M385" s="1"/>
      <c r="N385" s="1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  <c r="BI385" s="17"/>
      <c r="BJ385" s="17"/>
      <c r="BK385" s="17"/>
      <c r="BL385" s="17"/>
      <c r="BM385" s="17"/>
      <c r="BN385" s="17"/>
      <c r="BO385" s="17"/>
      <c r="BP385" s="17"/>
      <c r="BQ385" s="17"/>
      <c r="BR385" s="17"/>
      <c r="BS385" s="17"/>
      <c r="BT385" s="17"/>
      <c r="BU385" s="17"/>
      <c r="BV385" s="17"/>
      <c r="BW385" s="17"/>
      <c r="BX385" s="17"/>
      <c r="BY385" s="17"/>
      <c r="BZ385" s="17"/>
      <c r="CA385" s="17"/>
      <c r="CB385" s="17"/>
      <c r="CC385" s="17"/>
      <c r="CD385" s="17"/>
      <c r="CE385" s="17"/>
      <c r="CF385" s="17"/>
      <c r="CG385" s="17"/>
      <c r="CH385" s="17"/>
      <c r="CI385" s="17"/>
      <c r="CJ385" s="17"/>
      <c r="CK385" s="17"/>
      <c r="CL385" s="17"/>
      <c r="CM385" s="17"/>
      <c r="CN385" s="17"/>
      <c r="CO385" s="17"/>
      <c r="CP385" s="17"/>
      <c r="CQ385" s="17"/>
    </row>
    <row r="386" spans="4:95">
      <c r="D386" s="16">
        <v>764</v>
      </c>
      <c r="E386" s="1">
        <v>1.889964379E-2</v>
      </c>
      <c r="F386" s="1">
        <v>1.8066963179999999E-2</v>
      </c>
      <c r="G386" s="1">
        <v>6.8722926079999996E-2</v>
      </c>
      <c r="H386" s="1">
        <v>3.5979252310000001E-2</v>
      </c>
      <c r="I386" s="1">
        <v>4.3257653710000003E-2</v>
      </c>
      <c r="J386" s="1">
        <v>6.7532010379999993E-2</v>
      </c>
      <c r="K386" s="1">
        <v>2.937511168E-2</v>
      </c>
      <c r="L386" s="1">
        <v>3.836744651E-2</v>
      </c>
      <c r="M386" s="1"/>
      <c r="N386" s="1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  <c r="BI386" s="17"/>
      <c r="BJ386" s="17"/>
      <c r="BK386" s="17"/>
      <c r="BL386" s="17"/>
      <c r="BM386" s="17"/>
      <c r="BN386" s="17"/>
      <c r="BO386" s="17"/>
      <c r="BP386" s="17"/>
      <c r="BQ386" s="17"/>
      <c r="BR386" s="17"/>
      <c r="BS386" s="17"/>
      <c r="BT386" s="17"/>
      <c r="BU386" s="17"/>
      <c r="BV386" s="17"/>
      <c r="BW386" s="17"/>
      <c r="BX386" s="17"/>
      <c r="BY386" s="17"/>
      <c r="BZ386" s="17"/>
      <c r="CA386" s="17"/>
      <c r="CB386" s="17"/>
      <c r="CC386" s="17"/>
      <c r="CD386" s="17"/>
      <c r="CE386" s="17"/>
      <c r="CF386" s="17"/>
      <c r="CG386" s="17"/>
      <c r="CH386" s="17"/>
      <c r="CI386" s="17"/>
      <c r="CJ386" s="17"/>
      <c r="CK386" s="17"/>
      <c r="CL386" s="17"/>
      <c r="CM386" s="17"/>
      <c r="CN386" s="17"/>
      <c r="CO386" s="17"/>
      <c r="CP386" s="17"/>
      <c r="CQ386" s="17"/>
    </row>
    <row r="387" spans="4:95">
      <c r="D387" s="16">
        <v>765</v>
      </c>
      <c r="E387" s="1">
        <v>1.8390180539999999E-2</v>
      </c>
      <c r="F387" s="1">
        <v>1.7871523279999999E-2</v>
      </c>
      <c r="G387" s="1">
        <v>6.7477606240000002E-2</v>
      </c>
      <c r="H387" s="1">
        <v>3.5780448469999997E-2</v>
      </c>
      <c r="I387" s="1">
        <v>4.3127872050000002E-2</v>
      </c>
      <c r="J387" s="1">
        <v>6.7427054050000004E-2</v>
      </c>
      <c r="K387" s="1">
        <v>2.923326939E-2</v>
      </c>
      <c r="L387" s="1">
        <v>3.8436193020000002E-2</v>
      </c>
      <c r="M387" s="1"/>
      <c r="N387" s="1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  <c r="BI387" s="17"/>
      <c r="BJ387" s="17"/>
      <c r="BK387" s="17"/>
      <c r="BL387" s="17"/>
      <c r="BM387" s="17"/>
      <c r="BN387" s="17"/>
      <c r="BO387" s="17"/>
      <c r="BP387" s="17"/>
      <c r="BQ387" s="17"/>
      <c r="BR387" s="17"/>
      <c r="BS387" s="17"/>
      <c r="BT387" s="17"/>
      <c r="BU387" s="17"/>
      <c r="BV387" s="17"/>
      <c r="BW387" s="17"/>
      <c r="BX387" s="17"/>
      <c r="BY387" s="17"/>
      <c r="BZ387" s="17"/>
      <c r="CA387" s="17"/>
      <c r="CB387" s="17"/>
      <c r="CC387" s="17"/>
      <c r="CD387" s="17"/>
      <c r="CE387" s="17"/>
      <c r="CF387" s="17"/>
      <c r="CG387" s="17"/>
      <c r="CH387" s="17"/>
      <c r="CI387" s="17"/>
      <c r="CJ387" s="17"/>
      <c r="CK387" s="17"/>
      <c r="CL387" s="17"/>
      <c r="CM387" s="17"/>
      <c r="CN387" s="17"/>
      <c r="CO387" s="17"/>
      <c r="CP387" s="17"/>
      <c r="CQ387" s="17"/>
    </row>
    <row r="388" spans="4:95">
      <c r="D388" s="16">
        <v>766</v>
      </c>
      <c r="E388" s="1">
        <v>1.8122663720000001E-2</v>
      </c>
      <c r="F388" s="1">
        <v>1.818431169E-2</v>
      </c>
      <c r="G388" s="1">
        <v>6.6347666080000006E-2</v>
      </c>
      <c r="H388" s="1">
        <v>3.5371124740000003E-2</v>
      </c>
      <c r="I388" s="1">
        <v>4.2967803780000001E-2</v>
      </c>
      <c r="J388" s="1">
        <v>6.7669957880000006E-2</v>
      </c>
      <c r="K388" s="1">
        <v>2.9629947619999999E-2</v>
      </c>
      <c r="L388" s="1">
        <v>3.892616183E-2</v>
      </c>
      <c r="M388" s="1"/>
      <c r="N388" s="1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  <c r="BI388" s="17"/>
      <c r="BJ388" s="17"/>
      <c r="BK388" s="17"/>
      <c r="BL388" s="17"/>
      <c r="BM388" s="17"/>
      <c r="BN388" s="17"/>
      <c r="BO388" s="17"/>
      <c r="BP388" s="17"/>
      <c r="BQ388" s="17"/>
      <c r="BR388" s="17"/>
      <c r="BS388" s="17"/>
      <c r="BT388" s="17"/>
      <c r="BU388" s="17"/>
      <c r="BV388" s="17"/>
      <c r="BW388" s="17"/>
      <c r="BX388" s="17"/>
      <c r="BY388" s="17"/>
      <c r="BZ388" s="17"/>
      <c r="CA388" s="17"/>
      <c r="CB388" s="17"/>
      <c r="CC388" s="17"/>
      <c r="CD388" s="17"/>
      <c r="CE388" s="17"/>
      <c r="CF388" s="17"/>
      <c r="CG388" s="17"/>
      <c r="CH388" s="17"/>
      <c r="CI388" s="17"/>
      <c r="CJ388" s="17"/>
      <c r="CK388" s="17"/>
      <c r="CL388" s="17"/>
      <c r="CM388" s="17"/>
      <c r="CN388" s="17"/>
      <c r="CO388" s="17"/>
      <c r="CP388" s="17"/>
      <c r="CQ388" s="17"/>
    </row>
    <row r="389" spans="4:95">
      <c r="D389" s="16">
        <v>767</v>
      </c>
      <c r="E389" s="1">
        <v>1.707171649E-2</v>
      </c>
      <c r="F389" s="1">
        <v>1.7965590579999999E-2</v>
      </c>
      <c r="G389" s="1">
        <v>6.5581344070000006E-2</v>
      </c>
      <c r="H389" s="1">
        <v>3.4032668920000002E-2</v>
      </c>
      <c r="I389" s="1">
        <v>4.2351156469999998E-2</v>
      </c>
      <c r="J389" s="1">
        <v>6.6760852930000003E-2</v>
      </c>
      <c r="K389" s="1">
        <v>2.942718565E-2</v>
      </c>
      <c r="L389" s="1">
        <v>3.8481220599999998E-2</v>
      </c>
      <c r="M389" s="1"/>
      <c r="N389" s="1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  <c r="BI389" s="17"/>
      <c r="BJ389" s="17"/>
      <c r="BK389" s="17"/>
      <c r="BL389" s="17"/>
      <c r="BM389" s="17"/>
      <c r="BN389" s="17"/>
      <c r="BO389" s="17"/>
      <c r="BP389" s="17"/>
      <c r="BQ389" s="17"/>
      <c r="BR389" s="17"/>
      <c r="BS389" s="17"/>
      <c r="BT389" s="17"/>
      <c r="BU389" s="17"/>
      <c r="BV389" s="17"/>
      <c r="BW389" s="17"/>
      <c r="BX389" s="17"/>
      <c r="BY389" s="17"/>
      <c r="BZ389" s="17"/>
      <c r="CA389" s="17"/>
      <c r="CB389" s="17"/>
      <c r="CC389" s="17"/>
      <c r="CD389" s="17"/>
      <c r="CE389" s="17"/>
      <c r="CF389" s="17"/>
      <c r="CG389" s="17"/>
      <c r="CH389" s="17"/>
      <c r="CI389" s="17"/>
      <c r="CJ389" s="17"/>
      <c r="CK389" s="17"/>
      <c r="CL389" s="17"/>
      <c r="CM389" s="17"/>
      <c r="CN389" s="17"/>
      <c r="CO389" s="17"/>
      <c r="CP389" s="17"/>
      <c r="CQ389" s="17"/>
    </row>
    <row r="390" spans="4:95">
      <c r="D390" s="16">
        <v>768</v>
      </c>
      <c r="E390" s="1">
        <v>1.6205526889999999E-2</v>
      </c>
      <c r="F390" s="1">
        <v>1.7206033690000001E-2</v>
      </c>
      <c r="G390" s="1">
        <v>6.4715981480000004E-2</v>
      </c>
      <c r="H390" s="1">
        <v>3.3661909400000002E-2</v>
      </c>
      <c r="I390" s="1">
        <v>4.2274910960000002E-2</v>
      </c>
      <c r="J390" s="1">
        <v>6.670422107E-2</v>
      </c>
      <c r="K390" s="1">
        <v>2.9292775319999999E-2</v>
      </c>
      <c r="L390" s="1">
        <v>3.8195725530000002E-2</v>
      </c>
      <c r="M390" s="1"/>
      <c r="N390" s="1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  <c r="BI390" s="17"/>
      <c r="BJ390" s="17"/>
      <c r="BK390" s="17"/>
      <c r="BL390" s="17"/>
      <c r="BM390" s="17"/>
      <c r="BN390" s="17"/>
      <c r="BO390" s="17"/>
      <c r="BP390" s="17"/>
      <c r="BQ390" s="17"/>
      <c r="BR390" s="17"/>
      <c r="BS390" s="17"/>
      <c r="BT390" s="17"/>
      <c r="BU390" s="17"/>
      <c r="BV390" s="17"/>
      <c r="BW390" s="17"/>
      <c r="BX390" s="17"/>
      <c r="BY390" s="17"/>
      <c r="BZ390" s="17"/>
      <c r="CA390" s="17"/>
      <c r="CB390" s="17"/>
      <c r="CC390" s="17"/>
      <c r="CD390" s="17"/>
      <c r="CE390" s="17"/>
      <c r="CF390" s="17"/>
      <c r="CG390" s="17"/>
      <c r="CH390" s="17"/>
      <c r="CI390" s="17"/>
      <c r="CJ390" s="17"/>
      <c r="CK390" s="17"/>
      <c r="CL390" s="17"/>
      <c r="CM390" s="17"/>
      <c r="CN390" s="17"/>
      <c r="CO390" s="17"/>
      <c r="CP390" s="17"/>
      <c r="CQ390" s="17"/>
    </row>
    <row r="391" spans="4:95">
      <c r="D391" s="16">
        <v>769</v>
      </c>
      <c r="E391" s="1">
        <v>1.5493112620000001E-2</v>
      </c>
      <c r="F391" s="1">
        <v>1.6791315750000001E-2</v>
      </c>
      <c r="G391" s="1">
        <v>6.3804991539999995E-2</v>
      </c>
      <c r="H391" s="1">
        <v>3.2732550050000003E-2</v>
      </c>
      <c r="I391" s="1">
        <v>4.1822820900000002E-2</v>
      </c>
      <c r="J391" s="1">
        <v>6.6591925920000003E-2</v>
      </c>
      <c r="K391" s="1">
        <v>2.8750043360000001E-2</v>
      </c>
      <c r="L391" s="1">
        <v>3.8068208839999999E-2</v>
      </c>
      <c r="M391" s="1"/>
      <c r="N391" s="1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  <c r="BI391" s="17"/>
      <c r="BJ391" s="17"/>
      <c r="BK391" s="17"/>
      <c r="BL391" s="17"/>
      <c r="BM391" s="17"/>
      <c r="BN391" s="17"/>
      <c r="BO391" s="17"/>
      <c r="BP391" s="17"/>
      <c r="BQ391" s="17"/>
      <c r="BR391" s="17"/>
      <c r="BS391" s="17"/>
      <c r="BT391" s="17"/>
      <c r="BU391" s="17"/>
      <c r="BV391" s="17"/>
      <c r="BW391" s="17"/>
      <c r="BX391" s="17"/>
      <c r="BY391" s="17"/>
      <c r="BZ391" s="17"/>
      <c r="CA391" s="17"/>
      <c r="CB391" s="17"/>
      <c r="CC391" s="17"/>
      <c r="CD391" s="17"/>
      <c r="CE391" s="17"/>
      <c r="CF391" s="17"/>
      <c r="CG391" s="17"/>
      <c r="CH391" s="17"/>
      <c r="CI391" s="17"/>
      <c r="CJ391" s="17"/>
      <c r="CK391" s="17"/>
      <c r="CL391" s="17"/>
      <c r="CM391" s="17"/>
      <c r="CN391" s="17"/>
      <c r="CO391" s="17"/>
      <c r="CP391" s="17"/>
      <c r="CQ391" s="17"/>
    </row>
    <row r="392" spans="4:95">
      <c r="D392" s="16">
        <v>770</v>
      </c>
      <c r="E392" s="1">
        <v>1.4807844529999999E-2</v>
      </c>
      <c r="F392" s="1">
        <v>1.6636926680000001E-2</v>
      </c>
      <c r="G392" s="1">
        <v>6.3180848959999994E-2</v>
      </c>
      <c r="H392" s="1">
        <v>3.2112415880000002E-2</v>
      </c>
      <c r="I392" s="1">
        <v>4.1323028499999997E-2</v>
      </c>
      <c r="J392" s="1">
        <v>6.6932409999999998E-2</v>
      </c>
      <c r="K392" s="1">
        <v>2.88322214E-2</v>
      </c>
      <c r="L392" s="1">
        <v>3.7697855379999999E-2</v>
      </c>
      <c r="M392" s="1"/>
      <c r="N392" s="1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  <c r="BI392" s="17"/>
      <c r="BJ392" s="17"/>
      <c r="BK392" s="17"/>
      <c r="BL392" s="17"/>
      <c r="BM392" s="17"/>
      <c r="BN392" s="17"/>
      <c r="BO392" s="17"/>
      <c r="BP392" s="17"/>
      <c r="BQ392" s="17"/>
      <c r="BR392" s="17"/>
      <c r="BS392" s="17"/>
      <c r="BT392" s="17"/>
      <c r="BU392" s="17"/>
      <c r="BV392" s="17"/>
      <c r="BW392" s="17"/>
      <c r="BX392" s="17"/>
      <c r="BY392" s="17"/>
      <c r="BZ392" s="17"/>
      <c r="CA392" s="17"/>
      <c r="CB392" s="17"/>
      <c r="CC392" s="17"/>
      <c r="CD392" s="17"/>
      <c r="CE392" s="17"/>
      <c r="CF392" s="17"/>
      <c r="CG392" s="17"/>
      <c r="CH392" s="17"/>
      <c r="CI392" s="17"/>
      <c r="CJ392" s="17"/>
      <c r="CK392" s="17"/>
      <c r="CL392" s="17"/>
      <c r="CM392" s="17"/>
      <c r="CN392" s="17"/>
      <c r="CO392" s="17"/>
      <c r="CP392" s="17"/>
      <c r="CQ392" s="17"/>
    </row>
    <row r="393" spans="4:95">
      <c r="D393" s="16">
        <v>771</v>
      </c>
      <c r="E393" s="1">
        <v>1.444965135E-2</v>
      </c>
      <c r="F393" s="1">
        <v>1.627079956E-2</v>
      </c>
      <c r="G393" s="1">
        <v>6.3256569210000002E-2</v>
      </c>
      <c r="H393" s="1">
        <v>3.1532999130000003E-2</v>
      </c>
      <c r="I393" s="1">
        <v>4.1017454119999998E-2</v>
      </c>
      <c r="J393" s="1">
        <v>6.5885573629999999E-2</v>
      </c>
      <c r="K393" s="1">
        <v>2.8657648710000001E-2</v>
      </c>
      <c r="L393" s="1">
        <v>3.7503119559999999E-2</v>
      </c>
      <c r="M393" s="1"/>
      <c r="N393" s="1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  <c r="BI393" s="17"/>
      <c r="BJ393" s="17"/>
      <c r="BK393" s="17"/>
      <c r="BL393" s="17"/>
      <c r="BM393" s="17"/>
      <c r="BN393" s="17"/>
      <c r="BO393" s="17"/>
      <c r="BP393" s="17"/>
      <c r="BQ393" s="17"/>
      <c r="BR393" s="17"/>
      <c r="BS393" s="17"/>
      <c r="BT393" s="17"/>
      <c r="BU393" s="17"/>
      <c r="BV393" s="17"/>
      <c r="BW393" s="17"/>
      <c r="BX393" s="17"/>
      <c r="BY393" s="17"/>
      <c r="BZ393" s="17"/>
      <c r="CA393" s="17"/>
      <c r="CB393" s="17"/>
      <c r="CC393" s="17"/>
      <c r="CD393" s="17"/>
      <c r="CE393" s="17"/>
      <c r="CF393" s="17"/>
      <c r="CG393" s="17"/>
      <c r="CH393" s="17"/>
      <c r="CI393" s="17"/>
      <c r="CJ393" s="17"/>
      <c r="CK393" s="17"/>
      <c r="CL393" s="17"/>
      <c r="CM393" s="17"/>
      <c r="CN393" s="17"/>
      <c r="CO393" s="17"/>
      <c r="CP393" s="17"/>
      <c r="CQ393" s="17"/>
    </row>
    <row r="394" spans="4:95">
      <c r="D394" s="16">
        <v>772</v>
      </c>
      <c r="E394" s="1">
        <v>1.34065561E-2</v>
      </c>
      <c r="F394" s="1">
        <v>1.557939406E-2</v>
      </c>
      <c r="G394" s="1">
        <v>6.2177143990000003E-2</v>
      </c>
      <c r="H394" s="1">
        <v>3.1078154220000001E-2</v>
      </c>
      <c r="I394" s="1">
        <v>4.0830295529999998E-2</v>
      </c>
      <c r="J394" s="1">
        <v>6.5542839470000003E-2</v>
      </c>
      <c r="K394" s="1">
        <v>2.864481881E-2</v>
      </c>
      <c r="L394" s="1">
        <v>3.7386074659999997E-2</v>
      </c>
      <c r="M394" s="1"/>
      <c r="N394" s="1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  <c r="BI394" s="17"/>
      <c r="BJ394" s="17"/>
      <c r="BK394" s="17"/>
      <c r="BL394" s="17"/>
      <c r="BM394" s="17"/>
      <c r="BN394" s="17"/>
      <c r="BO394" s="17"/>
      <c r="BP394" s="17"/>
      <c r="BQ394" s="17"/>
      <c r="BR394" s="17"/>
      <c r="BS394" s="17"/>
      <c r="BT394" s="17"/>
      <c r="BU394" s="17"/>
      <c r="BV394" s="17"/>
      <c r="BW394" s="17"/>
      <c r="BX394" s="17"/>
      <c r="BY394" s="17"/>
      <c r="BZ394" s="17"/>
      <c r="CA394" s="17"/>
      <c r="CB394" s="17"/>
      <c r="CC394" s="17"/>
      <c r="CD394" s="17"/>
      <c r="CE394" s="17"/>
      <c r="CF394" s="17"/>
      <c r="CG394" s="17"/>
      <c r="CH394" s="17"/>
      <c r="CI394" s="17"/>
      <c r="CJ394" s="17"/>
      <c r="CK394" s="17"/>
      <c r="CL394" s="17"/>
      <c r="CM394" s="17"/>
      <c r="CN394" s="17"/>
      <c r="CO394" s="17"/>
      <c r="CP394" s="17"/>
      <c r="CQ394" s="17"/>
    </row>
    <row r="395" spans="4:95">
      <c r="D395" s="16">
        <v>773</v>
      </c>
      <c r="E395" s="1">
        <v>1.387396082E-2</v>
      </c>
      <c r="F395" s="1">
        <v>1.5981676060000002E-2</v>
      </c>
      <c r="G395" s="1">
        <v>6.2368568030000002E-2</v>
      </c>
      <c r="H395" s="1">
        <v>3.1192703169999999E-2</v>
      </c>
      <c r="I395" s="1">
        <v>4.0846135470000003E-2</v>
      </c>
      <c r="J395" s="1">
        <v>6.5619520840000001E-2</v>
      </c>
      <c r="K395" s="1">
        <v>2.9140023510000002E-2</v>
      </c>
      <c r="L395" s="1">
        <v>3.8055833429999998E-2</v>
      </c>
      <c r="M395" s="1"/>
      <c r="N395" s="1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  <c r="BI395" s="17"/>
      <c r="BJ395" s="17"/>
      <c r="BK395" s="17"/>
      <c r="BL395" s="17"/>
      <c r="BM395" s="17"/>
      <c r="BN395" s="17"/>
      <c r="BO395" s="17"/>
      <c r="BP395" s="17"/>
      <c r="BQ395" s="17"/>
      <c r="BR395" s="17"/>
      <c r="BS395" s="17"/>
      <c r="BT395" s="17"/>
      <c r="BU395" s="17"/>
      <c r="BV395" s="17"/>
      <c r="BW395" s="17"/>
      <c r="BX395" s="17"/>
      <c r="BY395" s="17"/>
      <c r="BZ395" s="17"/>
      <c r="CA395" s="17"/>
      <c r="CB395" s="17"/>
      <c r="CC395" s="17"/>
      <c r="CD395" s="17"/>
      <c r="CE395" s="17"/>
      <c r="CF395" s="17"/>
      <c r="CG395" s="17"/>
      <c r="CH395" s="17"/>
      <c r="CI395" s="17"/>
      <c r="CJ395" s="17"/>
      <c r="CK395" s="17"/>
      <c r="CL395" s="17"/>
      <c r="CM395" s="17"/>
      <c r="CN395" s="17"/>
      <c r="CO395" s="17"/>
      <c r="CP395" s="17"/>
      <c r="CQ395" s="17"/>
    </row>
    <row r="396" spans="4:95">
      <c r="D396" s="16">
        <v>774</v>
      </c>
      <c r="E396" s="1">
        <v>1.293495949E-2</v>
      </c>
      <c r="F396" s="1">
        <v>1.55085111E-2</v>
      </c>
      <c r="G396" s="1">
        <v>6.1781153079999998E-2</v>
      </c>
      <c r="H396" s="1">
        <v>3.0186656860000001E-2</v>
      </c>
      <c r="I396" s="1">
        <v>4.112688825E-2</v>
      </c>
      <c r="J396" s="1">
        <v>6.5490588550000006E-2</v>
      </c>
      <c r="K396" s="1">
        <v>2.8759336100000001E-2</v>
      </c>
      <c r="L396" s="1">
        <v>3.7161555139999997E-2</v>
      </c>
      <c r="M396" s="1"/>
      <c r="N396" s="1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  <c r="BI396" s="17"/>
      <c r="BJ396" s="17"/>
      <c r="BK396" s="17"/>
      <c r="BL396" s="17"/>
      <c r="BM396" s="17"/>
      <c r="BN396" s="17"/>
      <c r="BO396" s="17"/>
      <c r="BP396" s="17"/>
      <c r="BQ396" s="17"/>
      <c r="BR396" s="17"/>
      <c r="BS396" s="17"/>
      <c r="BT396" s="17"/>
      <c r="BU396" s="17"/>
      <c r="BV396" s="17"/>
      <c r="BW396" s="17"/>
      <c r="BX396" s="17"/>
      <c r="BY396" s="17"/>
      <c r="BZ396" s="17"/>
      <c r="CA396" s="17"/>
      <c r="CB396" s="17"/>
      <c r="CC396" s="17"/>
      <c r="CD396" s="17"/>
      <c r="CE396" s="17"/>
      <c r="CF396" s="17"/>
      <c r="CG396" s="17"/>
      <c r="CH396" s="17"/>
      <c r="CI396" s="17"/>
      <c r="CJ396" s="17"/>
      <c r="CK396" s="17"/>
      <c r="CL396" s="17"/>
      <c r="CM396" s="17"/>
      <c r="CN396" s="17"/>
      <c r="CO396" s="17"/>
      <c r="CP396" s="17"/>
      <c r="CQ396" s="17"/>
    </row>
    <row r="397" spans="4:95">
      <c r="D397" s="16">
        <v>775</v>
      </c>
      <c r="E397" s="1">
        <v>1.2251476759999999E-2</v>
      </c>
      <c r="F397" s="1">
        <v>1.5275983139999999E-2</v>
      </c>
      <c r="G397" s="1">
        <v>6.0803607109999998E-2</v>
      </c>
      <c r="H397" s="1">
        <v>2.9650289569999998E-2</v>
      </c>
      <c r="I397" s="1">
        <v>3.9960205550000003E-2</v>
      </c>
      <c r="J397" s="1">
        <v>6.4633697269999998E-2</v>
      </c>
      <c r="K397" s="1">
        <v>2.8395561499999999E-2</v>
      </c>
      <c r="L397" s="1">
        <v>3.7881977859999999E-2</v>
      </c>
      <c r="M397" s="1"/>
      <c r="N397" s="1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  <c r="BI397" s="17"/>
      <c r="BJ397" s="17"/>
      <c r="BK397" s="17"/>
      <c r="BL397" s="17"/>
      <c r="BM397" s="17"/>
      <c r="BN397" s="17"/>
      <c r="BO397" s="17"/>
      <c r="BP397" s="17"/>
      <c r="BQ397" s="17"/>
      <c r="BR397" s="17"/>
      <c r="BS397" s="17"/>
      <c r="BT397" s="17"/>
      <c r="BU397" s="17"/>
      <c r="BV397" s="17"/>
      <c r="BW397" s="17"/>
      <c r="BX397" s="17"/>
      <c r="BY397" s="17"/>
      <c r="BZ397" s="17"/>
      <c r="CA397" s="17"/>
      <c r="CB397" s="17"/>
      <c r="CC397" s="17"/>
      <c r="CD397" s="17"/>
      <c r="CE397" s="17"/>
      <c r="CF397" s="17"/>
      <c r="CG397" s="17"/>
      <c r="CH397" s="17"/>
      <c r="CI397" s="17"/>
      <c r="CJ397" s="17"/>
      <c r="CK397" s="17"/>
      <c r="CL397" s="17"/>
      <c r="CM397" s="17"/>
      <c r="CN397" s="17"/>
      <c r="CO397" s="17"/>
      <c r="CP397" s="17"/>
      <c r="CQ397" s="17"/>
    </row>
    <row r="398" spans="4:95">
      <c r="D398" s="16">
        <v>776</v>
      </c>
      <c r="E398" s="1">
        <v>1.160384156E-2</v>
      </c>
      <c r="F398" s="1">
        <v>1.428335905E-2</v>
      </c>
      <c r="G398" s="1">
        <v>6.0496810819999997E-2</v>
      </c>
      <c r="H398" s="1">
        <v>2.9265249149999999E-2</v>
      </c>
      <c r="I398" s="1">
        <v>3.9546042679999997E-2</v>
      </c>
      <c r="J398" s="1">
        <v>6.4624078569999993E-2</v>
      </c>
      <c r="K398" s="1">
        <v>2.838995121E-2</v>
      </c>
      <c r="L398" s="1">
        <v>3.7120781839999999E-2</v>
      </c>
      <c r="M398" s="1"/>
      <c r="N398" s="1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  <c r="BI398" s="17"/>
      <c r="BJ398" s="17"/>
      <c r="BK398" s="17"/>
      <c r="BL398" s="17"/>
      <c r="BM398" s="17"/>
      <c r="BN398" s="17"/>
      <c r="BO398" s="17"/>
      <c r="BP398" s="17"/>
      <c r="BQ398" s="17"/>
      <c r="BR398" s="17"/>
      <c r="BS398" s="17"/>
      <c r="BT398" s="17"/>
      <c r="BU398" s="17"/>
      <c r="BV398" s="17"/>
      <c r="BW398" s="17"/>
      <c r="BX398" s="17"/>
      <c r="BY398" s="17"/>
      <c r="BZ398" s="17"/>
      <c r="CA398" s="17"/>
      <c r="CB398" s="17"/>
      <c r="CC398" s="17"/>
      <c r="CD398" s="17"/>
      <c r="CE398" s="17"/>
      <c r="CF398" s="17"/>
      <c r="CG398" s="17"/>
      <c r="CH398" s="17"/>
      <c r="CI398" s="17"/>
      <c r="CJ398" s="17"/>
      <c r="CK398" s="17"/>
      <c r="CL398" s="17"/>
      <c r="CM398" s="17"/>
      <c r="CN398" s="17"/>
      <c r="CO398" s="17"/>
      <c r="CP398" s="17"/>
      <c r="CQ398" s="17"/>
    </row>
    <row r="399" spans="4:95">
      <c r="D399" s="16">
        <v>777</v>
      </c>
      <c r="E399" s="1">
        <v>1.1338000189999999E-2</v>
      </c>
      <c r="F399" s="1">
        <v>1.4104241510000001E-2</v>
      </c>
      <c r="G399" s="1">
        <v>5.9595011169999997E-2</v>
      </c>
      <c r="H399" s="1">
        <v>2.8574397790000001E-2</v>
      </c>
      <c r="I399" s="1">
        <v>3.9185475560000002E-2</v>
      </c>
      <c r="J399" s="1">
        <v>6.3787937160000002E-2</v>
      </c>
      <c r="K399" s="1">
        <v>2.807166241E-2</v>
      </c>
      <c r="L399" s="1">
        <v>3.6819390950000003E-2</v>
      </c>
      <c r="M399" s="1"/>
      <c r="N399" s="1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  <c r="BI399" s="17"/>
      <c r="BJ399" s="17"/>
      <c r="BK399" s="17"/>
      <c r="BL399" s="17"/>
      <c r="BM399" s="17"/>
      <c r="BN399" s="17"/>
      <c r="BO399" s="17"/>
      <c r="BP399" s="17"/>
      <c r="BQ399" s="17"/>
      <c r="BR399" s="17"/>
      <c r="BS399" s="17"/>
      <c r="BT399" s="17"/>
      <c r="BU399" s="17"/>
      <c r="BV399" s="17"/>
      <c r="BW399" s="17"/>
      <c r="BX399" s="17"/>
      <c r="BY399" s="17"/>
      <c r="BZ399" s="17"/>
      <c r="CA399" s="17"/>
      <c r="CB399" s="17"/>
      <c r="CC399" s="17"/>
      <c r="CD399" s="17"/>
      <c r="CE399" s="17"/>
      <c r="CF399" s="17"/>
      <c r="CG399" s="17"/>
      <c r="CH399" s="17"/>
      <c r="CI399" s="17"/>
      <c r="CJ399" s="17"/>
      <c r="CK399" s="17"/>
      <c r="CL399" s="17"/>
      <c r="CM399" s="17"/>
      <c r="CN399" s="17"/>
      <c r="CO399" s="17"/>
      <c r="CP399" s="17"/>
      <c r="CQ399" s="17"/>
    </row>
    <row r="400" spans="4:95">
      <c r="D400" s="16">
        <v>778</v>
      </c>
      <c r="E400" s="1">
        <v>1.1068737130000001E-2</v>
      </c>
      <c r="F400" s="1">
        <v>1.4473952349999999E-2</v>
      </c>
      <c r="G400" s="1">
        <v>6.0132496059999999E-2</v>
      </c>
      <c r="H400" s="1">
        <v>2.8848487879999999E-2</v>
      </c>
      <c r="I400" s="1">
        <v>3.9687804879999997E-2</v>
      </c>
      <c r="J400" s="1">
        <v>6.4395993949999994E-2</v>
      </c>
      <c r="K400" s="1">
        <v>2.8798805550000001E-2</v>
      </c>
      <c r="L400" s="1">
        <v>3.7503033880000002E-2</v>
      </c>
      <c r="M400" s="1"/>
      <c r="N400" s="1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  <c r="BI400" s="17"/>
      <c r="BJ400" s="17"/>
      <c r="BK400" s="17"/>
      <c r="BL400" s="17"/>
      <c r="BM400" s="17"/>
      <c r="BN400" s="17"/>
      <c r="BO400" s="17"/>
      <c r="BP400" s="17"/>
      <c r="BQ400" s="17"/>
      <c r="BR400" s="17"/>
      <c r="BS400" s="17"/>
      <c r="BT400" s="17"/>
      <c r="BU400" s="17"/>
      <c r="BV400" s="17"/>
      <c r="BW400" s="17"/>
      <c r="BX400" s="17"/>
      <c r="BY400" s="17"/>
      <c r="BZ400" s="17"/>
      <c r="CA400" s="17"/>
      <c r="CB400" s="17"/>
      <c r="CC400" s="17"/>
      <c r="CD400" s="17"/>
      <c r="CE400" s="17"/>
      <c r="CF400" s="17"/>
      <c r="CG400" s="17"/>
      <c r="CH400" s="17"/>
      <c r="CI400" s="17"/>
      <c r="CJ400" s="17"/>
      <c r="CK400" s="17"/>
      <c r="CL400" s="17"/>
      <c r="CM400" s="17"/>
      <c r="CN400" s="17"/>
      <c r="CO400" s="17"/>
      <c r="CP400" s="17"/>
      <c r="CQ400" s="17"/>
    </row>
    <row r="401" spans="4:95">
      <c r="D401" s="16">
        <v>779</v>
      </c>
      <c r="E401" s="1">
        <v>1.0802187959999999E-2</v>
      </c>
      <c r="F401" s="1">
        <v>1.3545485209999999E-2</v>
      </c>
      <c r="G401" s="1">
        <v>5.950501934E-2</v>
      </c>
      <c r="H401" s="1">
        <v>2.770015784E-2</v>
      </c>
      <c r="I401" s="1">
        <v>3.9143890139999998E-2</v>
      </c>
      <c r="J401" s="1">
        <v>6.4161606130000007E-2</v>
      </c>
      <c r="K401" s="1">
        <v>2.7925109489999999E-2</v>
      </c>
      <c r="L401" s="1">
        <v>3.716082498E-2</v>
      </c>
      <c r="M401" s="1"/>
      <c r="N401" s="1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  <c r="BI401" s="17"/>
      <c r="BJ401" s="17"/>
      <c r="BK401" s="17"/>
      <c r="BL401" s="17"/>
      <c r="BM401" s="17"/>
      <c r="BN401" s="17"/>
      <c r="BO401" s="17"/>
      <c r="BP401" s="17"/>
      <c r="BQ401" s="17"/>
      <c r="BR401" s="17"/>
      <c r="BS401" s="17"/>
      <c r="BT401" s="17"/>
      <c r="BU401" s="17"/>
      <c r="BV401" s="17"/>
      <c r="BW401" s="17"/>
      <c r="BX401" s="17"/>
      <c r="BY401" s="17"/>
      <c r="BZ401" s="17"/>
      <c r="CA401" s="17"/>
      <c r="CB401" s="17"/>
      <c r="CC401" s="17"/>
      <c r="CD401" s="17"/>
      <c r="CE401" s="17"/>
      <c r="CF401" s="1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</row>
    <row r="402" spans="4:95">
      <c r="D402" s="16">
        <v>780</v>
      </c>
      <c r="E402" s="1">
        <v>1.056837197E-2</v>
      </c>
      <c r="F402" s="1">
        <v>1.431894023E-2</v>
      </c>
      <c r="G402" s="1">
        <v>5.9732213620000002E-2</v>
      </c>
      <c r="H402" s="1">
        <v>2.8083370999999999E-2</v>
      </c>
      <c r="I402" s="1">
        <v>3.9748847480000002E-2</v>
      </c>
      <c r="J402" s="1">
        <v>6.4125113189999999E-2</v>
      </c>
      <c r="K402" s="1">
        <v>2.8469933199999999E-2</v>
      </c>
      <c r="L402" s="1">
        <v>3.7686027589999997E-2</v>
      </c>
      <c r="M402" s="1"/>
      <c r="N402" s="1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  <c r="BI402" s="17"/>
      <c r="BJ402" s="17"/>
      <c r="BK402" s="17"/>
      <c r="BL402" s="17"/>
      <c r="BM402" s="17"/>
      <c r="BN402" s="17"/>
      <c r="BO402" s="17"/>
      <c r="BP402" s="17"/>
      <c r="BQ402" s="17"/>
      <c r="BR402" s="17"/>
      <c r="BS402" s="17"/>
      <c r="BT402" s="17"/>
      <c r="BU402" s="17"/>
      <c r="BV402" s="17"/>
      <c r="BW402" s="17"/>
      <c r="BX402" s="17"/>
      <c r="BY402" s="17"/>
      <c r="BZ402" s="17"/>
      <c r="CA402" s="17"/>
      <c r="CB402" s="17"/>
      <c r="CC402" s="17"/>
      <c r="CD402" s="17"/>
      <c r="CE402" s="17"/>
      <c r="CF402" s="17"/>
      <c r="CG402" s="17"/>
      <c r="CH402" s="17"/>
      <c r="CI402" s="17"/>
      <c r="CJ402" s="17"/>
      <c r="CK402" s="17"/>
      <c r="CL402" s="17"/>
      <c r="CM402" s="17"/>
      <c r="CN402" s="17"/>
      <c r="CO402" s="17"/>
      <c r="CP402" s="17"/>
      <c r="CQ402" s="17"/>
    </row>
  </sheetData>
  <sheetProtection algorithmName="SHA-512" hashValue="AxSBVV9duFUqAE7r1pQF+ZYtXk5IdC4iQTWkuFLE475g6LfPwtj0j0WluZLGWaJHzVMWZsOFLsa7Xo71tLJMjg==" saltValue="xbtMG3JS//lboQ4E2XJL4g==" spinCount="100000" sheet="1" objects="1" scenarios="1"/>
  <protectedRanges>
    <protectedRange sqref="B2:B3" name="区域2"/>
    <protectedRange sqref="E2:CQ402" name="区域1"/>
  </protectedRange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SetColor_SelectedCells">
                <anchor moveWithCells="1">
                  <from>
                    <xdr:col>10</xdr:col>
                    <xdr:colOff>171450</xdr:colOff>
                    <xdr:row>2</xdr:row>
                    <xdr:rowOff>123825</xdr:rowOff>
                  </from>
                  <to>
                    <xdr:col>12</xdr:col>
                    <xdr:colOff>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B67D3-A951-4D7F-ABDA-7B257BB7C8E8}">
  <sheetPr codeName="Sheet2"/>
  <dimension ref="A1:DB204"/>
  <sheetViews>
    <sheetView topLeftCell="C136" zoomScale="70" zoomScaleNormal="70" workbookViewId="0">
      <selection activeCell="AA22" sqref="AA22"/>
    </sheetView>
  </sheetViews>
  <sheetFormatPr defaultRowHeight="14.25"/>
  <cols>
    <col min="2" max="2" width="9.625" bestFit="1" customWidth="1"/>
    <col min="5" max="7" width="9.625" bestFit="1" customWidth="1"/>
    <col min="10" max="10" width="9.625" bestFit="1" customWidth="1"/>
    <col min="11" max="13" width="11.625" bestFit="1" customWidth="1"/>
    <col min="16" max="16" width="8.5" customWidth="1"/>
    <col min="17" max="18" width="9.625" bestFit="1" customWidth="1"/>
  </cols>
  <sheetData>
    <row r="1" spans="1:23">
      <c r="A1" s="6"/>
      <c r="B1" s="11" t="str" cm="1">
        <f t="array" ref="B1:B82">IF('1'!B3="D65",Parameters!D2:D83,IF('1'!B3="D50",Parameters!C2:C83,Parameters!B2:B83))</f>
        <v>D65</v>
      </c>
      <c r="D1" s="6"/>
      <c r="E1" s="11" t="str" cm="1">
        <f t="array" ref="E1:G82">IF('1'!B2="10°",Parameters!L2:N83)</f>
        <v>CIE 1964 10°</v>
      </c>
      <c r="F1" s="11">
        <v>0</v>
      </c>
      <c r="G1" s="11">
        <v>0</v>
      </c>
      <c r="I1" s="6"/>
      <c r="J1" s="11"/>
      <c r="K1" s="11"/>
      <c r="L1" s="11"/>
      <c r="N1" s="6"/>
      <c r="O1" s="6"/>
      <c r="P1" s="7"/>
      <c r="Q1" s="7"/>
      <c r="R1" s="7"/>
    </row>
    <row r="2" spans="1:23">
      <c r="A2" s="5">
        <v>380</v>
      </c>
      <c r="B2" s="9">
        <v>49.975499999999997</v>
      </c>
      <c r="D2" s="5">
        <v>380</v>
      </c>
      <c r="E2" s="9">
        <v>1.6000000000000001E-4</v>
      </c>
      <c r="F2" s="9">
        <v>1.7E-5</v>
      </c>
      <c r="G2" s="9">
        <v>7.0500000000000001E-4</v>
      </c>
      <c r="I2" s="5">
        <v>380</v>
      </c>
      <c r="J2" s="9">
        <f>E2*$B2</f>
        <v>7.9960800000000009E-3</v>
      </c>
      <c r="K2" s="9">
        <f t="shared" ref="K2:L2" si="0">F2*$B2</f>
        <v>8.4958349999999995E-4</v>
      </c>
      <c r="L2" s="9">
        <f t="shared" si="0"/>
        <v>3.5232727499999998E-2</v>
      </c>
      <c r="N2" s="5">
        <v>380</v>
      </c>
      <c r="O2" s="5" cm="1">
        <f t="array" aca="1" ref="O2:W2" ca="1">OFFSET('1'!$D$1,MATCH(Calculation!$N2,'1'!$D:$D,0)-1,0,1,COUNTA('1'!D2:ZY2))</f>
        <v>380</v>
      </c>
      <c r="P2" s="9">
        <f ca="1"/>
        <v>8.1502400340000003E-2</v>
      </c>
      <c r="Q2" s="9">
        <f ca="1"/>
        <v>0.1844202429</v>
      </c>
      <c r="R2" s="9">
        <f ca="1"/>
        <v>0.24176600579999999</v>
      </c>
      <c r="S2">
        <f ca="1"/>
        <v>0.17887522280000001</v>
      </c>
      <c r="T2">
        <f ca="1"/>
        <v>0.25034490230000001</v>
      </c>
      <c r="U2">
        <f ca="1"/>
        <v>0.41573840379999999</v>
      </c>
      <c r="V2">
        <f ca="1"/>
        <v>0.19979216159999999</v>
      </c>
      <c r="W2">
        <f ca="1"/>
        <v>0.19772785900000001</v>
      </c>
    </row>
    <row r="3" spans="1:23">
      <c r="A3" s="5">
        <v>385</v>
      </c>
      <c r="B3" s="9">
        <v>52.311799999999998</v>
      </c>
      <c r="D3" s="5">
        <v>385</v>
      </c>
      <c r="E3" s="9">
        <v>6.6200000000000005E-4</v>
      </c>
      <c r="F3" s="9">
        <v>7.2000000000000002E-5</v>
      </c>
      <c r="G3" s="9">
        <v>2.9299999999999999E-3</v>
      </c>
      <c r="I3" s="5">
        <v>385</v>
      </c>
      <c r="J3" s="9">
        <f t="shared" ref="J3:J66" si="1">E3*$B3</f>
        <v>3.4630411600000001E-2</v>
      </c>
      <c r="K3" s="9">
        <f t="shared" ref="K3:K66" si="2">F3*$B3</f>
        <v>3.7664496E-3</v>
      </c>
      <c r="L3" s="9">
        <f t="shared" ref="L3:L66" si="3">G3*$B3</f>
        <v>0.153273574</v>
      </c>
      <c r="N3" s="5">
        <v>385</v>
      </c>
      <c r="O3" s="5" cm="1">
        <f t="array" aca="1" ref="O3:W3" ca="1">OFFSET('1'!$D$1,MATCH(Calculation!$N3,'1'!$D:$D,0)-1,0,1,COUNTA('1'!D3:ZY3))</f>
        <v>385</v>
      </c>
      <c r="P3" s="9">
        <f ca="1"/>
        <v>7.4336096640000002E-2</v>
      </c>
      <c r="Q3" s="9">
        <f ca="1"/>
        <v>0.1718160957</v>
      </c>
      <c r="R3" s="9">
        <f ca="1"/>
        <v>0.23163066800000001</v>
      </c>
      <c r="S3">
        <f ca="1"/>
        <v>0.17195464669999999</v>
      </c>
      <c r="T3">
        <f ca="1"/>
        <v>0.24441267550000001</v>
      </c>
      <c r="U3">
        <f ca="1"/>
        <v>0.40273395179999999</v>
      </c>
      <c r="V3">
        <f ca="1"/>
        <v>0.19212083520000001</v>
      </c>
      <c r="W3">
        <f ca="1"/>
        <v>0.1907409132</v>
      </c>
    </row>
    <row r="4" spans="1:23">
      <c r="A4" s="5">
        <v>390</v>
      </c>
      <c r="B4" s="9">
        <v>54.648200000000003</v>
      </c>
      <c r="D4" s="5">
        <v>390</v>
      </c>
      <c r="E4" s="9">
        <v>2.3600000000000001E-3</v>
      </c>
      <c r="F4" s="9">
        <v>2.5300000000000002E-4</v>
      </c>
      <c r="G4" s="9">
        <v>1.048E-2</v>
      </c>
      <c r="I4" s="5">
        <v>390</v>
      </c>
      <c r="J4" s="9">
        <f t="shared" si="1"/>
        <v>0.12896975200000002</v>
      </c>
      <c r="K4" s="9">
        <f t="shared" si="2"/>
        <v>1.3825994600000002E-2</v>
      </c>
      <c r="L4" s="9">
        <f t="shared" si="3"/>
        <v>0.57271313600000007</v>
      </c>
      <c r="N4" s="5">
        <v>390</v>
      </c>
      <c r="O4" s="5" cm="1">
        <f t="array" aca="1" ref="O4:W4" ca="1">OFFSET('1'!$D$1,MATCH(Calculation!$N4,'1'!$D:$D,0)-1,0,1,COUNTA('1'!D4:ZY4))</f>
        <v>390</v>
      </c>
      <c r="P4" s="9">
        <f ca="1"/>
        <v>6.8355917929999996E-2</v>
      </c>
      <c r="Q4" s="9">
        <f ca="1"/>
        <v>0.1609394103</v>
      </c>
      <c r="R4" s="9">
        <f ca="1"/>
        <v>0.22292549910000001</v>
      </c>
      <c r="S4">
        <f ca="1"/>
        <v>0.16599464420000001</v>
      </c>
      <c r="T4">
        <f ca="1"/>
        <v>0.23979128899999999</v>
      </c>
      <c r="U4">
        <f ca="1"/>
        <v>0.39072465899999997</v>
      </c>
      <c r="V4">
        <f ca="1"/>
        <v>0.184836477</v>
      </c>
      <c r="W4">
        <f ca="1"/>
        <v>0.18378369510000001</v>
      </c>
    </row>
    <row r="5" spans="1:23">
      <c r="A5" s="5">
        <v>395</v>
      </c>
      <c r="B5" s="9">
        <v>68.701499999999996</v>
      </c>
      <c r="D5" s="5">
        <v>395</v>
      </c>
      <c r="E5" s="9">
        <v>7.2399999999999999E-3</v>
      </c>
      <c r="F5" s="9">
        <v>7.6900000000000004E-4</v>
      </c>
      <c r="G5" s="9">
        <v>3.2340000000000001E-2</v>
      </c>
      <c r="I5" s="5">
        <v>395</v>
      </c>
      <c r="J5" s="9">
        <f t="shared" si="1"/>
        <v>0.49739885999999994</v>
      </c>
      <c r="K5" s="9">
        <f t="shared" si="2"/>
        <v>5.28314535E-2</v>
      </c>
      <c r="L5" s="9">
        <f t="shared" si="3"/>
        <v>2.22180651</v>
      </c>
      <c r="N5" s="5">
        <v>395</v>
      </c>
      <c r="O5" s="5" cm="1">
        <f t="array" aca="1" ref="O5:W5" ca="1">OFFSET('1'!$D$1,MATCH(Calculation!$N5,'1'!$D:$D,0)-1,0,1,COUNTA('1'!D5:ZY5))</f>
        <v>395</v>
      </c>
      <c r="P5" s="9">
        <f ca="1"/>
        <v>6.3851378860000002E-2</v>
      </c>
      <c r="Q5" s="9">
        <f ca="1"/>
        <v>0.15032947059999999</v>
      </c>
      <c r="R5" s="9">
        <f ca="1"/>
        <v>0.2127059996</v>
      </c>
      <c r="S5">
        <f ca="1"/>
        <v>0.16213516889999999</v>
      </c>
      <c r="T5">
        <f ca="1"/>
        <v>0.2366784364</v>
      </c>
      <c r="U5">
        <f ca="1"/>
        <v>0.38002699610000001</v>
      </c>
      <c r="V5">
        <f ca="1"/>
        <v>0.1781411618</v>
      </c>
      <c r="W5">
        <f ca="1"/>
        <v>0.17815825339999999</v>
      </c>
    </row>
    <row r="6" spans="1:23">
      <c r="A6" s="5">
        <v>400</v>
      </c>
      <c r="B6" s="9">
        <v>82.754900000000006</v>
      </c>
      <c r="D6" s="5">
        <v>400</v>
      </c>
      <c r="E6" s="9">
        <v>1.9109999999999999E-2</v>
      </c>
      <c r="F6" s="9">
        <v>2E-3</v>
      </c>
      <c r="G6" s="9">
        <v>8.6010000000000003E-2</v>
      </c>
      <c r="I6" s="5">
        <v>400</v>
      </c>
      <c r="J6" s="9">
        <f t="shared" si="1"/>
        <v>1.5814461390000001</v>
      </c>
      <c r="K6" s="9">
        <f t="shared" si="2"/>
        <v>0.16550980000000001</v>
      </c>
      <c r="L6" s="9">
        <f t="shared" si="3"/>
        <v>7.117748949000001</v>
      </c>
      <c r="N6" s="5">
        <v>400</v>
      </c>
      <c r="O6" s="5" cm="1">
        <f t="array" aca="1" ref="O6:W6" ca="1">OFFSET('1'!$D$1,MATCH(Calculation!$N6,'1'!$D:$D,0)-1,0,1,COUNTA('1'!D6:ZY6))</f>
        <v>400</v>
      </c>
      <c r="P6" s="9">
        <f ca="1"/>
        <v>5.9892758730000002E-2</v>
      </c>
      <c r="Q6" s="9">
        <f ca="1"/>
        <v>0.14145286379999999</v>
      </c>
      <c r="R6" s="9">
        <f ca="1"/>
        <v>0.20498269799999999</v>
      </c>
      <c r="S6">
        <f ca="1"/>
        <v>0.1588804275</v>
      </c>
      <c r="T6">
        <f ca="1"/>
        <v>0.23473173380000001</v>
      </c>
      <c r="U6">
        <f ca="1"/>
        <v>0.37081536650000002</v>
      </c>
      <c r="V6">
        <f ca="1"/>
        <v>0.17155809699999999</v>
      </c>
      <c r="W6">
        <f ca="1"/>
        <v>0.1717524976</v>
      </c>
    </row>
    <row r="7" spans="1:23">
      <c r="A7" s="5">
        <v>405</v>
      </c>
      <c r="B7" s="9">
        <v>87.120400000000004</v>
      </c>
      <c r="D7" s="5">
        <v>405</v>
      </c>
      <c r="E7" s="9">
        <v>4.3400000000000001E-2</v>
      </c>
      <c r="F7" s="9">
        <v>4.5100000000000001E-3</v>
      </c>
      <c r="G7" s="9">
        <v>0.19711999999999999</v>
      </c>
      <c r="I7" s="5">
        <v>405</v>
      </c>
      <c r="J7" s="9">
        <f t="shared" si="1"/>
        <v>3.7810253600000001</v>
      </c>
      <c r="K7" s="9">
        <f t="shared" si="2"/>
        <v>0.39291300400000001</v>
      </c>
      <c r="L7" s="9">
        <f t="shared" si="3"/>
        <v>17.173173248000001</v>
      </c>
      <c r="N7" s="5">
        <v>405</v>
      </c>
      <c r="O7" s="5" cm="1">
        <f t="array" aca="1" ref="O7:W7" ca="1">OFFSET('1'!$D$1,MATCH(Calculation!$N7,'1'!$D:$D,0)-1,0,1,COUNTA('1'!D7:ZY7))</f>
        <v>405</v>
      </c>
      <c r="P7" s="9">
        <f ca="1"/>
        <v>5.6841000910000002E-2</v>
      </c>
      <c r="Q7" s="9">
        <f ca="1"/>
        <v>0.133291468</v>
      </c>
      <c r="R7" s="9">
        <f ca="1"/>
        <v>0.1989395618</v>
      </c>
      <c r="S7">
        <f ca="1"/>
        <v>0.15669828650000001</v>
      </c>
      <c r="T7">
        <f ca="1"/>
        <v>0.23389147220000001</v>
      </c>
      <c r="U7">
        <f ca="1"/>
        <v>0.3621780872</v>
      </c>
      <c r="V7">
        <f ca="1"/>
        <v>0.1653430313</v>
      </c>
      <c r="W7">
        <f ca="1"/>
        <v>0.165769577</v>
      </c>
    </row>
    <row r="8" spans="1:23">
      <c r="A8" s="5">
        <v>410</v>
      </c>
      <c r="B8" s="9">
        <v>91.486000000000004</v>
      </c>
      <c r="D8" s="5">
        <v>410</v>
      </c>
      <c r="E8" s="9">
        <v>8.4739999999999996E-2</v>
      </c>
      <c r="F8" s="9">
        <v>8.7600000000000004E-3</v>
      </c>
      <c r="G8" s="9">
        <v>0.38936999999999999</v>
      </c>
      <c r="I8" s="5">
        <v>410</v>
      </c>
      <c r="J8" s="9">
        <f t="shared" si="1"/>
        <v>7.7525236399999997</v>
      </c>
      <c r="K8" s="9">
        <f t="shared" si="2"/>
        <v>0.80141736000000008</v>
      </c>
      <c r="L8" s="9">
        <f t="shared" si="3"/>
        <v>35.62190382</v>
      </c>
      <c r="N8" s="5">
        <v>410</v>
      </c>
      <c r="O8" s="5" cm="1">
        <f t="array" aca="1" ref="O8:W8" ca="1">OFFSET('1'!$D$1,MATCH(Calculation!$N8,'1'!$D:$D,0)-1,0,1,COUNTA('1'!D8:ZY8))</f>
        <v>410</v>
      </c>
      <c r="P8" s="9">
        <f ca="1"/>
        <v>5.432752892E-2</v>
      </c>
      <c r="Q8" s="9">
        <f ca="1"/>
        <v>0.12571562829999999</v>
      </c>
      <c r="R8" s="9">
        <f ca="1"/>
        <v>0.19410070779999999</v>
      </c>
      <c r="S8">
        <f ca="1"/>
        <v>0.15471652150000001</v>
      </c>
      <c r="T8">
        <f ca="1"/>
        <v>0.23293384910000001</v>
      </c>
      <c r="U8">
        <f ca="1"/>
        <v>0.35463747379999999</v>
      </c>
      <c r="V8">
        <f ca="1"/>
        <v>0.15929417309999999</v>
      </c>
      <c r="W8">
        <f ca="1"/>
        <v>0.15950307250000001</v>
      </c>
    </row>
    <row r="9" spans="1:23">
      <c r="A9" s="5">
        <v>415</v>
      </c>
      <c r="B9" s="9">
        <v>92.4589</v>
      </c>
      <c r="D9" s="5">
        <v>415</v>
      </c>
      <c r="E9" s="9">
        <v>0.14063999999999999</v>
      </c>
      <c r="F9" s="9">
        <v>1.4460000000000001E-2</v>
      </c>
      <c r="G9" s="9">
        <v>0.65676000000000001</v>
      </c>
      <c r="I9" s="5">
        <v>415</v>
      </c>
      <c r="J9" s="9">
        <f t="shared" si="1"/>
        <v>13.003419695999998</v>
      </c>
      <c r="K9" s="9">
        <f t="shared" si="2"/>
        <v>1.336955694</v>
      </c>
      <c r="L9" s="9">
        <f t="shared" si="3"/>
        <v>60.723307163999998</v>
      </c>
      <c r="N9" s="5">
        <v>415</v>
      </c>
      <c r="O9" s="5" cm="1">
        <f t="array" aca="1" ref="O9:W9" ca="1">OFFSET('1'!$D$1,MATCH(Calculation!$N9,'1'!$D:$D,0)-1,0,1,COUNTA('1'!D9:ZY9))</f>
        <v>415</v>
      </c>
      <c r="P9" s="9">
        <f ca="1"/>
        <v>5.2621338519999998E-2</v>
      </c>
      <c r="Q9" s="9">
        <f ca="1"/>
        <v>0.11993967</v>
      </c>
      <c r="R9" s="9">
        <f ca="1"/>
        <v>0.18624426420000001</v>
      </c>
      <c r="S9">
        <f ca="1"/>
        <v>0.15292774140000001</v>
      </c>
      <c r="T9">
        <f ca="1"/>
        <v>0.231501177</v>
      </c>
      <c r="U9">
        <f ca="1"/>
        <v>0.34756019710000002</v>
      </c>
      <c r="V9">
        <f ca="1"/>
        <v>0.1533603519</v>
      </c>
      <c r="W9">
        <f ca="1"/>
        <v>0.15355643629999999</v>
      </c>
    </row>
    <row r="10" spans="1:23">
      <c r="A10" s="5">
        <v>420</v>
      </c>
      <c r="B10" s="9">
        <v>93.431799999999996</v>
      </c>
      <c r="D10" s="5">
        <v>420</v>
      </c>
      <c r="E10" s="9">
        <v>0.20449000000000001</v>
      </c>
      <c r="F10" s="9">
        <v>2.1389999999999999E-2</v>
      </c>
      <c r="G10" s="9">
        <v>0.97253999999999996</v>
      </c>
      <c r="I10" s="5">
        <v>420</v>
      </c>
      <c r="J10" s="9">
        <f t="shared" si="1"/>
        <v>19.105868781999998</v>
      </c>
      <c r="K10" s="9">
        <f t="shared" si="2"/>
        <v>1.9985062019999997</v>
      </c>
      <c r="L10" s="9">
        <f t="shared" si="3"/>
        <v>90.866162771999996</v>
      </c>
      <c r="N10" s="5">
        <v>420</v>
      </c>
      <c r="O10" s="5" cm="1">
        <f t="array" aca="1" ref="O10:W10" ca="1">OFFSET('1'!$D$1,MATCH(Calculation!$N10,'1'!$D:$D,0)-1,0,1,COUNTA('1'!D10:ZY10))</f>
        <v>420</v>
      </c>
      <c r="P10" s="9">
        <f ca="1"/>
        <v>5.0894752139999999E-2</v>
      </c>
      <c r="Q10" s="9">
        <f ca="1"/>
        <v>0.1139197871</v>
      </c>
      <c r="R10" s="9">
        <f ca="1"/>
        <v>0.18352964520000001</v>
      </c>
      <c r="S10">
        <f ca="1"/>
        <v>0.15035817030000001</v>
      </c>
      <c r="T10">
        <f ca="1"/>
        <v>0.2283120304</v>
      </c>
      <c r="U10">
        <f ca="1"/>
        <v>0.33969745039999999</v>
      </c>
      <c r="V10">
        <f ca="1"/>
        <v>0.1470727473</v>
      </c>
      <c r="W10">
        <f ca="1"/>
        <v>0.1473373026</v>
      </c>
    </row>
    <row r="11" spans="1:23">
      <c r="A11" s="5">
        <v>425</v>
      </c>
      <c r="B11" s="9">
        <v>90.057000000000002</v>
      </c>
      <c r="D11" s="5">
        <v>425</v>
      </c>
      <c r="E11" s="9">
        <v>0.26473999999999998</v>
      </c>
      <c r="F11" s="9">
        <v>2.9499999999999998E-2</v>
      </c>
      <c r="G11" s="9">
        <v>1.2825</v>
      </c>
      <c r="I11" s="5">
        <v>425</v>
      </c>
      <c r="J11" s="9">
        <f t="shared" si="1"/>
        <v>23.841690179999997</v>
      </c>
      <c r="K11" s="9">
        <f t="shared" si="2"/>
        <v>2.6566814999999999</v>
      </c>
      <c r="L11" s="9">
        <f t="shared" si="3"/>
        <v>115.4981025</v>
      </c>
      <c r="N11" s="5">
        <v>425</v>
      </c>
      <c r="O11" s="5" cm="1">
        <f t="array" aca="1" ref="O11:W11" ca="1">OFFSET('1'!$D$1,MATCH(Calculation!$N11,'1'!$D:$D,0)-1,0,1,COUNTA('1'!D11:ZY11))</f>
        <v>425</v>
      </c>
      <c r="P11" s="9">
        <f ca="1"/>
        <v>4.9911234530000001E-2</v>
      </c>
      <c r="Q11" s="9">
        <f ca="1"/>
        <v>0.1089890599</v>
      </c>
      <c r="R11" s="9">
        <f ca="1"/>
        <v>0.1769476831</v>
      </c>
      <c r="S11">
        <f ca="1"/>
        <v>0.14809979500000001</v>
      </c>
      <c r="T11">
        <f ca="1"/>
        <v>0.2245717794</v>
      </c>
      <c r="U11">
        <f ca="1"/>
        <v>0.33199444410000001</v>
      </c>
      <c r="V11">
        <f ca="1"/>
        <v>0.14146560429999999</v>
      </c>
      <c r="W11">
        <f ca="1"/>
        <v>0.1414871067</v>
      </c>
    </row>
    <row r="12" spans="1:23">
      <c r="A12" s="5">
        <v>430</v>
      </c>
      <c r="B12" s="9">
        <v>86.682299999999998</v>
      </c>
      <c r="D12" s="5">
        <v>430</v>
      </c>
      <c r="E12" s="9">
        <v>0.31468000000000002</v>
      </c>
      <c r="F12" s="9">
        <v>3.8679999999999999E-2</v>
      </c>
      <c r="G12" s="9">
        <v>1.55348</v>
      </c>
      <c r="I12" s="5">
        <v>430</v>
      </c>
      <c r="J12" s="9">
        <f t="shared" si="1"/>
        <v>27.277186164</v>
      </c>
      <c r="K12" s="9">
        <f t="shared" si="2"/>
        <v>3.3528713639999999</v>
      </c>
      <c r="L12" s="9">
        <f t="shared" si="3"/>
        <v>134.659219404</v>
      </c>
      <c r="N12" s="5">
        <v>430</v>
      </c>
      <c r="O12" s="5" cm="1">
        <f t="array" aca="1" ref="O12:W12" ca="1">OFFSET('1'!$D$1,MATCH(Calculation!$N12,'1'!$D:$D,0)-1,0,1,COUNTA('1'!D12:ZY12))</f>
        <v>430</v>
      </c>
      <c r="P12" s="9">
        <f ca="1"/>
        <v>4.9104187639999998E-2</v>
      </c>
      <c r="Q12" s="9">
        <f ca="1"/>
        <v>0.1043973342</v>
      </c>
      <c r="R12" s="9">
        <f ca="1"/>
        <v>0.1716794968</v>
      </c>
      <c r="S12">
        <f ca="1"/>
        <v>0.14504632349999999</v>
      </c>
      <c r="T12">
        <f ca="1"/>
        <v>0.21872361000000001</v>
      </c>
      <c r="U12">
        <f ca="1"/>
        <v>0.323900044</v>
      </c>
      <c r="V12">
        <f ca="1"/>
        <v>0.13611920180000001</v>
      </c>
      <c r="W12">
        <f ca="1"/>
        <v>0.13599877060000001</v>
      </c>
    </row>
    <row r="13" spans="1:23">
      <c r="A13" s="5">
        <v>435</v>
      </c>
      <c r="B13" s="9">
        <v>95.773600000000002</v>
      </c>
      <c r="D13" s="5">
        <v>435</v>
      </c>
      <c r="E13" s="9">
        <v>0.35771999999999998</v>
      </c>
      <c r="F13" s="9">
        <v>4.9599999999999998E-2</v>
      </c>
      <c r="G13" s="9">
        <v>1.7985</v>
      </c>
      <c r="I13" s="5">
        <v>435</v>
      </c>
      <c r="J13" s="9">
        <f t="shared" si="1"/>
        <v>34.260132192</v>
      </c>
      <c r="K13" s="9">
        <f t="shared" si="2"/>
        <v>4.7503705600000004</v>
      </c>
      <c r="L13" s="9">
        <f t="shared" si="3"/>
        <v>172.24881959999999</v>
      </c>
      <c r="N13" s="5">
        <v>435</v>
      </c>
      <c r="O13" s="5" cm="1">
        <f t="array" aca="1" ref="O13:W13" ca="1">OFFSET('1'!$D$1,MATCH(Calculation!$N13,'1'!$D:$D,0)-1,0,1,COUNTA('1'!D13:ZY13))</f>
        <v>435</v>
      </c>
      <c r="P13" s="9">
        <f ca="1"/>
        <v>4.8785503950000003E-2</v>
      </c>
      <c r="Q13" s="9">
        <f ca="1"/>
        <v>0.1005501598</v>
      </c>
      <c r="R13" s="9">
        <f ca="1"/>
        <v>0.167508781</v>
      </c>
      <c r="S13">
        <f ca="1"/>
        <v>0.1410660893</v>
      </c>
      <c r="T13">
        <f ca="1"/>
        <v>0.210137412</v>
      </c>
      <c r="U13">
        <f ca="1"/>
        <v>0.3150849342</v>
      </c>
      <c r="V13">
        <f ca="1"/>
        <v>0.1313325018</v>
      </c>
      <c r="W13">
        <f ca="1"/>
        <v>0.1312343031</v>
      </c>
    </row>
    <row r="14" spans="1:23">
      <c r="A14" s="5">
        <v>440</v>
      </c>
      <c r="B14" s="9">
        <v>104.86499999999999</v>
      </c>
      <c r="D14" s="5">
        <v>440</v>
      </c>
      <c r="E14" s="9">
        <v>0.38373000000000002</v>
      </c>
      <c r="F14" s="9">
        <v>6.2080000000000003E-2</v>
      </c>
      <c r="G14" s="9">
        <v>1.9672799999999999</v>
      </c>
      <c r="I14" s="5">
        <v>440</v>
      </c>
      <c r="J14" s="9">
        <f t="shared" si="1"/>
        <v>40.239846450000002</v>
      </c>
      <c r="K14" s="9">
        <f t="shared" si="2"/>
        <v>6.5100192000000003</v>
      </c>
      <c r="L14" s="9">
        <f t="shared" si="3"/>
        <v>206.29881719999997</v>
      </c>
      <c r="N14" s="5">
        <v>440</v>
      </c>
      <c r="O14" s="5" cm="1">
        <f t="array" aca="1" ref="O14:W14" ca="1">OFFSET('1'!$D$1,MATCH(Calculation!$N14,'1'!$D:$D,0)-1,0,1,COUNTA('1'!D14:ZY14))</f>
        <v>440</v>
      </c>
      <c r="P14" s="9">
        <f ca="1"/>
        <v>4.8482161019999997E-2</v>
      </c>
      <c r="Q14" s="9">
        <f ca="1"/>
        <v>9.6364706750000001E-2</v>
      </c>
      <c r="R14" s="9">
        <f ca="1"/>
        <v>0.16414563360000001</v>
      </c>
      <c r="S14">
        <f ca="1"/>
        <v>0.13571870329999999</v>
      </c>
      <c r="T14">
        <f ca="1"/>
        <v>0.19795823100000001</v>
      </c>
      <c r="U14">
        <f ca="1"/>
        <v>0.30481910709999999</v>
      </c>
      <c r="V14">
        <f ca="1"/>
        <v>0.12691338360000001</v>
      </c>
      <c r="W14">
        <f ca="1"/>
        <v>0.12690860030000001</v>
      </c>
    </row>
    <row r="15" spans="1:23">
      <c r="A15" s="5">
        <v>445</v>
      </c>
      <c r="B15" s="9">
        <v>110.93600000000001</v>
      </c>
      <c r="D15" s="5">
        <v>445</v>
      </c>
      <c r="E15" s="9">
        <v>0.38673000000000002</v>
      </c>
      <c r="F15" s="9">
        <v>7.4700000000000003E-2</v>
      </c>
      <c r="G15" s="9">
        <v>2.0272999999999999</v>
      </c>
      <c r="I15" s="5">
        <v>445</v>
      </c>
      <c r="J15" s="9">
        <f t="shared" si="1"/>
        <v>42.902279280000002</v>
      </c>
      <c r="K15" s="9">
        <f t="shared" si="2"/>
        <v>8.2869192000000016</v>
      </c>
      <c r="L15" s="9">
        <f t="shared" si="3"/>
        <v>224.90055280000001</v>
      </c>
      <c r="N15" s="5">
        <v>445</v>
      </c>
      <c r="O15" s="5" cm="1">
        <f t="array" aca="1" ref="O15:W15" ca="1">OFFSET('1'!$D$1,MATCH(Calculation!$N15,'1'!$D:$D,0)-1,0,1,COUNTA('1'!D15:ZY15))</f>
        <v>445</v>
      </c>
      <c r="P15" s="9">
        <f ca="1"/>
        <v>4.874292761E-2</v>
      </c>
      <c r="Q15" s="9">
        <f ca="1"/>
        <v>9.2551909390000006E-2</v>
      </c>
      <c r="R15" s="9">
        <f ca="1"/>
        <v>0.15938735009999999</v>
      </c>
      <c r="S15">
        <f ca="1"/>
        <v>0.13027039169999999</v>
      </c>
      <c r="T15">
        <f ca="1"/>
        <v>0.18474210799999999</v>
      </c>
      <c r="U15">
        <f ca="1"/>
        <v>0.2930874228</v>
      </c>
      <c r="V15">
        <f ca="1"/>
        <v>0.122901462</v>
      </c>
      <c r="W15">
        <f ca="1"/>
        <v>0.12293502689999999</v>
      </c>
    </row>
    <row r="16" spans="1:23">
      <c r="A16" s="5">
        <v>450</v>
      </c>
      <c r="B16" s="9">
        <v>117.008</v>
      </c>
      <c r="D16" s="5">
        <v>450</v>
      </c>
      <c r="E16" s="9">
        <v>0.37069999999999997</v>
      </c>
      <c r="F16" s="9">
        <v>8.9459999999999998E-2</v>
      </c>
      <c r="G16" s="9">
        <v>1.9947999999999999</v>
      </c>
      <c r="I16" s="5">
        <v>450</v>
      </c>
      <c r="J16" s="9">
        <f t="shared" si="1"/>
        <v>43.374865599999993</v>
      </c>
      <c r="K16" s="9">
        <f t="shared" si="2"/>
        <v>10.467535679999999</v>
      </c>
      <c r="L16" s="9">
        <f t="shared" si="3"/>
        <v>233.40755839999997</v>
      </c>
      <c r="N16" s="5">
        <v>450</v>
      </c>
      <c r="O16" s="5" cm="1">
        <f t="array" aca="1" ref="O16:W16" ca="1">OFFSET('1'!$D$1,MATCH(Calculation!$N16,'1'!$D:$D,0)-1,0,1,COUNTA('1'!D16:ZY16))</f>
        <v>450</v>
      </c>
      <c r="P16" s="9">
        <f ca="1"/>
        <v>4.8936169590000002E-2</v>
      </c>
      <c r="Q16" s="9">
        <f ca="1"/>
        <v>8.8938161730000007E-2</v>
      </c>
      <c r="R16" s="9">
        <f ca="1"/>
        <v>0.15344610810000001</v>
      </c>
      <c r="S16">
        <f ca="1"/>
        <v>0.12570273879999999</v>
      </c>
      <c r="T16">
        <f ca="1"/>
        <v>0.1727209985</v>
      </c>
      <c r="U16">
        <f ca="1"/>
        <v>0.28113591669999999</v>
      </c>
      <c r="V16">
        <f ca="1"/>
        <v>0.1188431829</v>
      </c>
      <c r="W16">
        <f ca="1"/>
        <v>0.11919349429999999</v>
      </c>
    </row>
    <row r="17" spans="1:23">
      <c r="A17" s="5">
        <v>455</v>
      </c>
      <c r="B17" s="9">
        <v>117.41</v>
      </c>
      <c r="D17" s="5">
        <v>455</v>
      </c>
      <c r="E17" s="9">
        <v>0.34295999999999999</v>
      </c>
      <c r="F17" s="9">
        <v>0.10625999999999999</v>
      </c>
      <c r="G17" s="9">
        <v>1.9007000000000001</v>
      </c>
      <c r="I17" s="5">
        <v>455</v>
      </c>
      <c r="J17" s="9">
        <f t="shared" si="1"/>
        <v>40.266933599999994</v>
      </c>
      <c r="K17" s="9">
        <f t="shared" si="2"/>
        <v>12.475986599999999</v>
      </c>
      <c r="L17" s="9">
        <f t="shared" si="3"/>
        <v>223.16118700000001</v>
      </c>
      <c r="N17" s="5">
        <v>455</v>
      </c>
      <c r="O17" s="5" cm="1">
        <f t="array" aca="1" ref="O17:W17" ca="1">OFFSET('1'!$D$1,MATCH(Calculation!$N17,'1'!$D:$D,0)-1,0,1,COUNTA('1'!D17:ZY17))</f>
        <v>455</v>
      </c>
      <c r="P17" s="9">
        <f ca="1"/>
        <v>5.0057556480000001E-2</v>
      </c>
      <c r="Q17" s="9">
        <f ca="1"/>
        <v>8.5664108399999994E-2</v>
      </c>
      <c r="R17" s="9">
        <f ca="1"/>
        <v>0.14957636590000001</v>
      </c>
      <c r="S17">
        <f ca="1"/>
        <v>0.1223850697</v>
      </c>
      <c r="T17">
        <f ca="1"/>
        <v>0.16332389410000001</v>
      </c>
      <c r="U17">
        <f ca="1"/>
        <v>0.27024528380000001</v>
      </c>
      <c r="V17">
        <f ca="1"/>
        <v>0.11552732440000001</v>
      </c>
      <c r="W17">
        <f ca="1"/>
        <v>0.1160332561</v>
      </c>
    </row>
    <row r="18" spans="1:23">
      <c r="A18" s="5">
        <v>460</v>
      </c>
      <c r="B18" s="9">
        <v>117.812</v>
      </c>
      <c r="D18" s="5">
        <v>460</v>
      </c>
      <c r="E18" s="9">
        <v>0.30226999999999998</v>
      </c>
      <c r="F18" s="9">
        <v>0.12820000000000001</v>
      </c>
      <c r="G18" s="9">
        <v>1.7453700000000001</v>
      </c>
      <c r="I18" s="5">
        <v>460</v>
      </c>
      <c r="J18" s="9">
        <f t="shared" si="1"/>
        <v>35.611033239999998</v>
      </c>
      <c r="K18" s="9">
        <f t="shared" si="2"/>
        <v>15.103498400000001</v>
      </c>
      <c r="L18" s="9">
        <f t="shared" si="3"/>
        <v>205.62553044000001</v>
      </c>
      <c r="N18" s="5">
        <v>460</v>
      </c>
      <c r="O18" s="5" cm="1">
        <f t="array" aca="1" ref="O18:W18" ca="1">OFFSET('1'!$D$1,MATCH(Calculation!$N18,'1'!$D:$D,0)-1,0,1,COUNTA('1'!D18:ZY18))</f>
        <v>460</v>
      </c>
      <c r="P18" s="9">
        <f ca="1"/>
        <v>5.1344912499999999E-2</v>
      </c>
      <c r="Q18" s="9">
        <f ca="1"/>
        <v>8.18342492E-2</v>
      </c>
      <c r="R18" s="9">
        <f ca="1"/>
        <v>0.1498306096</v>
      </c>
      <c r="S18">
        <f ca="1"/>
        <v>0.1195697635</v>
      </c>
      <c r="T18">
        <f ca="1"/>
        <v>0.15558241310000001</v>
      </c>
      <c r="U18">
        <f ca="1"/>
        <v>0.26017883419999999</v>
      </c>
      <c r="V18">
        <f ca="1"/>
        <v>0.1121499166</v>
      </c>
      <c r="W18">
        <f ca="1"/>
        <v>0.1134156659</v>
      </c>
    </row>
    <row r="19" spans="1:23">
      <c r="A19" s="5">
        <v>465</v>
      </c>
      <c r="B19" s="9">
        <v>116.336</v>
      </c>
      <c r="D19" s="5">
        <v>465</v>
      </c>
      <c r="E19" s="9">
        <v>0.25408999999999998</v>
      </c>
      <c r="F19" s="9">
        <v>0.15276000000000001</v>
      </c>
      <c r="G19" s="9">
        <v>1.5548999999999999</v>
      </c>
      <c r="I19" s="5">
        <v>465</v>
      </c>
      <c r="J19" s="9">
        <f t="shared" si="1"/>
        <v>29.559814239999998</v>
      </c>
      <c r="K19" s="9">
        <f t="shared" si="2"/>
        <v>17.771487360000002</v>
      </c>
      <c r="L19" s="9">
        <f t="shared" si="3"/>
        <v>180.89084639999999</v>
      </c>
      <c r="N19" s="5">
        <v>465</v>
      </c>
      <c r="O19" s="5" cm="1">
        <f t="array" aca="1" ref="O19:W19" ca="1">OFFSET('1'!$D$1,MATCH(Calculation!$N19,'1'!$D:$D,0)-1,0,1,COUNTA('1'!D19:ZY19))</f>
        <v>465</v>
      </c>
      <c r="P19" s="9">
        <f ca="1"/>
        <v>5.30028902E-2</v>
      </c>
      <c r="Q19" s="9">
        <f ca="1"/>
        <v>7.9970575870000005E-2</v>
      </c>
      <c r="R19" s="9">
        <f ca="1"/>
        <v>0.14558950070000001</v>
      </c>
      <c r="S19">
        <f ca="1"/>
        <v>0.11787964400000001</v>
      </c>
      <c r="T19">
        <f ca="1"/>
        <v>0.14962345360000001</v>
      </c>
      <c r="U19">
        <f ca="1"/>
        <v>0.25108143690000001</v>
      </c>
      <c r="V19">
        <f ca="1"/>
        <v>0.1089981124</v>
      </c>
      <c r="W19">
        <f ca="1"/>
        <v>0.11053948099999999</v>
      </c>
    </row>
    <row r="20" spans="1:23">
      <c r="A20" s="5">
        <v>470</v>
      </c>
      <c r="B20" s="9">
        <v>114.861</v>
      </c>
      <c r="D20" s="5">
        <v>470</v>
      </c>
      <c r="E20" s="9">
        <v>0.19561999999999999</v>
      </c>
      <c r="F20" s="9">
        <v>0.18518999999999999</v>
      </c>
      <c r="G20" s="9">
        <v>1.3175600000000001</v>
      </c>
      <c r="I20" s="5">
        <v>470</v>
      </c>
      <c r="J20" s="9">
        <f t="shared" si="1"/>
        <v>22.469108819999999</v>
      </c>
      <c r="K20" s="9">
        <f t="shared" si="2"/>
        <v>21.271108590000001</v>
      </c>
      <c r="L20" s="9">
        <f t="shared" si="3"/>
        <v>151.33625916000003</v>
      </c>
      <c r="N20" s="5">
        <v>470</v>
      </c>
      <c r="O20" s="5" cm="1">
        <f t="array" aca="1" ref="O20:W20" ca="1">OFFSET('1'!$D$1,MATCH(Calculation!$N20,'1'!$D:$D,0)-1,0,1,COUNTA('1'!D20:ZY20))</f>
        <v>470</v>
      </c>
      <c r="P20" s="9">
        <f ca="1"/>
        <v>5.524105579E-2</v>
      </c>
      <c r="Q20" s="9">
        <f ca="1"/>
        <v>7.7858582139999993E-2</v>
      </c>
      <c r="R20" s="9">
        <f ca="1"/>
        <v>0.14377138019999999</v>
      </c>
      <c r="S20">
        <f ca="1"/>
        <v>0.1167671382</v>
      </c>
      <c r="T20">
        <f ca="1"/>
        <v>0.14450207349999999</v>
      </c>
      <c r="U20">
        <f ca="1"/>
        <v>0.242766127</v>
      </c>
      <c r="V20">
        <f ca="1"/>
        <v>0.10617331419999999</v>
      </c>
      <c r="W20">
        <f ca="1"/>
        <v>0.108085826</v>
      </c>
    </row>
    <row r="21" spans="1:23">
      <c r="A21" s="5">
        <v>475</v>
      </c>
      <c r="B21" s="9">
        <v>115.392</v>
      </c>
      <c r="D21" s="5">
        <v>475</v>
      </c>
      <c r="E21" s="9">
        <v>0.13235</v>
      </c>
      <c r="F21" s="9">
        <v>0.21994</v>
      </c>
      <c r="G21" s="9">
        <v>1.0302</v>
      </c>
      <c r="I21" s="5">
        <v>475</v>
      </c>
      <c r="J21" s="9">
        <f t="shared" si="1"/>
        <v>15.272131199999999</v>
      </c>
      <c r="K21" s="9">
        <f t="shared" si="2"/>
        <v>25.37931648</v>
      </c>
      <c r="L21" s="9">
        <f t="shared" si="3"/>
        <v>118.8768384</v>
      </c>
      <c r="N21" s="5">
        <v>475</v>
      </c>
      <c r="O21" s="5" cm="1">
        <f t="array" aca="1" ref="O21:W21" ca="1">OFFSET('1'!$D$1,MATCH(Calculation!$N21,'1'!$D:$D,0)-1,0,1,COUNTA('1'!D21:ZY21))</f>
        <v>475</v>
      </c>
      <c r="P21" s="9">
        <f ca="1"/>
        <v>5.8241471650000001E-2</v>
      </c>
      <c r="Q21" s="9">
        <f ca="1"/>
        <v>7.6503865419999997E-2</v>
      </c>
      <c r="R21" s="9">
        <f ca="1"/>
        <v>0.1419615149</v>
      </c>
      <c r="S21">
        <f ca="1"/>
        <v>0.11607749019999999</v>
      </c>
      <c r="T21">
        <f ca="1"/>
        <v>0.13998165730000001</v>
      </c>
      <c r="U21">
        <f ca="1"/>
        <v>0.23492784799999999</v>
      </c>
      <c r="V21">
        <f ca="1"/>
        <v>0.103463605</v>
      </c>
      <c r="W21">
        <f ca="1"/>
        <v>0.1057191119</v>
      </c>
    </row>
    <row r="22" spans="1:23">
      <c r="A22" s="5">
        <v>480</v>
      </c>
      <c r="B22" s="9">
        <v>115.923</v>
      </c>
      <c r="D22" s="5">
        <v>480</v>
      </c>
      <c r="E22" s="9">
        <v>8.0509999999999998E-2</v>
      </c>
      <c r="F22" s="9">
        <v>0.25358999999999998</v>
      </c>
      <c r="G22" s="9">
        <v>0.77212999999999998</v>
      </c>
      <c r="I22" s="5">
        <v>480</v>
      </c>
      <c r="J22" s="9">
        <f t="shared" si="1"/>
        <v>9.3329607299999999</v>
      </c>
      <c r="K22" s="9">
        <f t="shared" si="2"/>
        <v>29.396913569999999</v>
      </c>
      <c r="L22" s="9">
        <f t="shared" si="3"/>
        <v>89.507625989999994</v>
      </c>
      <c r="N22" s="5">
        <v>480</v>
      </c>
      <c r="O22" s="5" cm="1">
        <f t="array" aca="1" ref="O22:W22" ca="1">OFFSET('1'!$D$1,MATCH(Calculation!$N22,'1'!$D:$D,0)-1,0,1,COUNTA('1'!D22:ZY22))</f>
        <v>480</v>
      </c>
      <c r="P22" s="9">
        <f ca="1"/>
        <v>6.2045197929999997E-2</v>
      </c>
      <c r="Q22" s="9">
        <f ca="1"/>
        <v>7.4950963260000003E-2</v>
      </c>
      <c r="R22" s="9">
        <f ca="1"/>
        <v>0.140394941</v>
      </c>
      <c r="S22">
        <f ca="1"/>
        <v>0.11603670570000001</v>
      </c>
      <c r="T22">
        <f ca="1"/>
        <v>0.13611683250000001</v>
      </c>
      <c r="U22">
        <f ca="1"/>
        <v>0.22752986850000001</v>
      </c>
      <c r="V22">
        <f ca="1"/>
        <v>0.1008988172</v>
      </c>
      <c r="W22">
        <f ca="1"/>
        <v>0.1036289334</v>
      </c>
    </row>
    <row r="23" spans="1:23">
      <c r="A23" s="5">
        <v>485</v>
      </c>
      <c r="B23" s="9">
        <v>112.367</v>
      </c>
      <c r="D23" s="5">
        <v>485</v>
      </c>
      <c r="E23" s="9">
        <v>4.1070000000000002E-2</v>
      </c>
      <c r="F23" s="9">
        <v>0.29766999999999999</v>
      </c>
      <c r="G23" s="9">
        <v>0.57006000000000001</v>
      </c>
      <c r="I23" s="5">
        <v>485</v>
      </c>
      <c r="J23" s="9">
        <f t="shared" si="1"/>
        <v>4.6149126900000006</v>
      </c>
      <c r="K23" s="9">
        <f t="shared" si="2"/>
        <v>33.448284890000004</v>
      </c>
      <c r="L23" s="9">
        <f t="shared" si="3"/>
        <v>64.05593202</v>
      </c>
      <c r="N23" s="5">
        <v>485</v>
      </c>
      <c r="O23" s="5" cm="1">
        <f t="array" aca="1" ref="O23:W23" ca="1">OFFSET('1'!$D$1,MATCH(Calculation!$N23,'1'!$D:$D,0)-1,0,1,COUNTA('1'!D23:ZY23))</f>
        <v>485</v>
      </c>
      <c r="P23" s="9">
        <f ca="1"/>
        <v>6.6577047109999996E-2</v>
      </c>
      <c r="Q23" s="9">
        <f ca="1"/>
        <v>7.4778482320000006E-2</v>
      </c>
      <c r="R23" s="9">
        <f ca="1"/>
        <v>0.13988232610000001</v>
      </c>
      <c r="S23">
        <f ca="1"/>
        <v>0.1171259806</v>
      </c>
      <c r="T23">
        <f ca="1"/>
        <v>0.13327144090000001</v>
      </c>
      <c r="U23">
        <f ca="1"/>
        <v>0.22105093300000001</v>
      </c>
      <c r="V23">
        <f ca="1"/>
        <v>9.8578773440000003E-2</v>
      </c>
      <c r="W23">
        <f ca="1"/>
        <v>0.1016608626</v>
      </c>
    </row>
    <row r="24" spans="1:23">
      <c r="A24" s="5">
        <v>490</v>
      </c>
      <c r="B24" s="9">
        <v>108.81100000000001</v>
      </c>
      <c r="D24" s="5">
        <v>490</v>
      </c>
      <c r="E24" s="9">
        <v>1.617E-2</v>
      </c>
      <c r="F24" s="9">
        <v>0.33912999999999999</v>
      </c>
      <c r="G24" s="9">
        <v>0.41525000000000001</v>
      </c>
      <c r="I24" s="5">
        <v>490</v>
      </c>
      <c r="J24" s="9">
        <f t="shared" si="1"/>
        <v>1.7594738700000001</v>
      </c>
      <c r="K24" s="9">
        <f t="shared" si="2"/>
        <v>36.901074430000001</v>
      </c>
      <c r="L24" s="9">
        <f t="shared" si="3"/>
        <v>45.183767750000001</v>
      </c>
      <c r="N24" s="5">
        <v>490</v>
      </c>
      <c r="O24" s="5" cm="1">
        <f t="array" aca="1" ref="O24:W24" ca="1">OFFSET('1'!$D$1,MATCH(Calculation!$N24,'1'!$D:$D,0)-1,0,1,COUNTA('1'!D24:ZY24))</f>
        <v>490</v>
      </c>
      <c r="P24" s="9">
        <f ca="1"/>
        <v>7.2368495170000005E-2</v>
      </c>
      <c r="Q24" s="9">
        <f ca="1"/>
        <v>7.4875846509999996E-2</v>
      </c>
      <c r="R24" s="9">
        <f ca="1"/>
        <v>0.1411088556</v>
      </c>
      <c r="S24">
        <f ca="1"/>
        <v>0.1183240041</v>
      </c>
      <c r="T24">
        <f ca="1"/>
        <v>0.13108661769999999</v>
      </c>
      <c r="U24">
        <f ca="1"/>
        <v>0.21534091229999999</v>
      </c>
      <c r="V24">
        <f ca="1"/>
        <v>9.6476085480000001E-2</v>
      </c>
      <c r="W24">
        <f ca="1"/>
        <v>9.9886946379999994E-2</v>
      </c>
    </row>
    <row r="25" spans="1:23">
      <c r="A25" s="5">
        <v>495</v>
      </c>
      <c r="B25" s="9">
        <v>109.08199999999999</v>
      </c>
      <c r="D25" s="5">
        <v>495</v>
      </c>
      <c r="E25" s="9">
        <v>5.13E-3</v>
      </c>
      <c r="F25" s="9">
        <v>0.39538000000000001</v>
      </c>
      <c r="G25" s="9">
        <v>0.30236000000000002</v>
      </c>
      <c r="I25" s="5">
        <v>495</v>
      </c>
      <c r="J25" s="9">
        <f t="shared" si="1"/>
        <v>0.55959066000000002</v>
      </c>
      <c r="K25" s="9">
        <f t="shared" si="2"/>
        <v>43.12884116</v>
      </c>
      <c r="L25" s="9">
        <f t="shared" si="3"/>
        <v>32.982033520000002</v>
      </c>
      <c r="N25" s="5">
        <v>495</v>
      </c>
      <c r="O25" s="5" cm="1">
        <f t="array" aca="1" ref="O25:W25" ca="1">OFFSET('1'!$D$1,MATCH(Calculation!$N25,'1'!$D:$D,0)-1,0,1,COUNTA('1'!D25:ZY25))</f>
        <v>495</v>
      </c>
      <c r="P25" s="9">
        <f ca="1"/>
        <v>7.7659592030000002E-2</v>
      </c>
      <c r="Q25" s="9">
        <f ca="1"/>
        <v>7.4185721580000002E-2</v>
      </c>
      <c r="R25" s="9">
        <f ca="1"/>
        <v>0.14275173839999999</v>
      </c>
      <c r="S25">
        <f ca="1"/>
        <v>0.12024842199999999</v>
      </c>
      <c r="T25">
        <f ca="1"/>
        <v>0.12913946809999999</v>
      </c>
      <c r="U25">
        <f ca="1"/>
        <v>0.20963858069999999</v>
      </c>
      <c r="V25">
        <f ca="1"/>
        <v>9.4058118760000003E-2</v>
      </c>
      <c r="W25">
        <f ca="1"/>
        <v>9.7761586309999995E-2</v>
      </c>
    </row>
    <row r="26" spans="1:23">
      <c r="A26" s="5">
        <v>500</v>
      </c>
      <c r="B26" s="9">
        <v>109.354</v>
      </c>
      <c r="D26" s="5">
        <v>500</v>
      </c>
      <c r="E26" s="9">
        <v>3.82E-3</v>
      </c>
      <c r="F26" s="9">
        <v>0.46078000000000002</v>
      </c>
      <c r="G26" s="9">
        <v>0.2185</v>
      </c>
      <c r="I26" s="5">
        <v>500</v>
      </c>
      <c r="J26" s="9">
        <f t="shared" si="1"/>
        <v>0.41773228000000001</v>
      </c>
      <c r="K26" s="9">
        <f t="shared" si="2"/>
        <v>50.388136119999999</v>
      </c>
      <c r="L26" s="9">
        <f t="shared" si="3"/>
        <v>23.893848999999999</v>
      </c>
      <c r="N26" s="5">
        <v>500</v>
      </c>
      <c r="O26" s="5" cm="1">
        <f t="array" aca="1" ref="O26:W26" ca="1">OFFSET('1'!$D$1,MATCH(Calculation!$N26,'1'!$D:$D,0)-1,0,1,COUNTA('1'!D26:ZY26))</f>
        <v>500</v>
      </c>
      <c r="P26" s="9">
        <f ca="1"/>
        <v>8.387765288E-2</v>
      </c>
      <c r="Q26" s="9">
        <f ca="1"/>
        <v>7.4224814769999994E-2</v>
      </c>
      <c r="R26" s="9">
        <f ca="1"/>
        <v>0.14434052999999999</v>
      </c>
      <c r="S26">
        <f ca="1"/>
        <v>0.12312293050000001</v>
      </c>
      <c r="T26">
        <f ca="1"/>
        <v>0.12810784580000001</v>
      </c>
      <c r="U26">
        <f ca="1"/>
        <v>0.20488239820000001</v>
      </c>
      <c r="V26">
        <f ca="1"/>
        <v>9.181661159E-2</v>
      </c>
      <c r="W26">
        <f ca="1"/>
        <v>9.5918893810000003E-2</v>
      </c>
    </row>
    <row r="27" spans="1:23">
      <c r="A27" s="5">
        <v>505</v>
      </c>
      <c r="B27" s="9">
        <v>108.578</v>
      </c>
      <c r="D27" s="5">
        <v>505</v>
      </c>
      <c r="E27" s="9">
        <v>1.5440000000000001E-2</v>
      </c>
      <c r="F27" s="9">
        <v>0.53136000000000005</v>
      </c>
      <c r="G27" s="9">
        <v>0.15925</v>
      </c>
      <c r="I27" s="5">
        <v>505</v>
      </c>
      <c r="J27" s="9">
        <f t="shared" si="1"/>
        <v>1.6764443200000001</v>
      </c>
      <c r="K27" s="9">
        <f t="shared" si="2"/>
        <v>57.694006080000008</v>
      </c>
      <c r="L27" s="9">
        <f t="shared" si="3"/>
        <v>17.2910465</v>
      </c>
      <c r="N27" s="5">
        <v>505</v>
      </c>
      <c r="O27" s="5" cm="1">
        <f t="array" aca="1" ref="O27:W27" ca="1">OFFSET('1'!$D$1,MATCH(Calculation!$N27,'1'!$D:$D,0)-1,0,1,COUNTA('1'!D27:ZY27))</f>
        <v>505</v>
      </c>
      <c r="P27" s="9">
        <f ca="1"/>
        <v>9.0185038750000002E-2</v>
      </c>
      <c r="Q27" s="9">
        <f ca="1"/>
        <v>7.4195243420000001E-2</v>
      </c>
      <c r="R27" s="9">
        <f ca="1"/>
        <v>0.14553575220000001</v>
      </c>
      <c r="S27">
        <f ca="1"/>
        <v>0.12627595659999999</v>
      </c>
      <c r="T27">
        <f ca="1"/>
        <v>0.12718817590000001</v>
      </c>
      <c r="U27">
        <f ca="1"/>
        <v>0.20017898079999999</v>
      </c>
      <c r="V27">
        <f ca="1"/>
        <v>8.9518815279999997E-2</v>
      </c>
      <c r="W27">
        <f ca="1"/>
        <v>9.3543387950000001E-2</v>
      </c>
    </row>
    <row r="28" spans="1:23">
      <c r="A28" s="5">
        <v>510</v>
      </c>
      <c r="B28" s="9">
        <v>107.80200000000001</v>
      </c>
      <c r="D28" s="5">
        <v>510</v>
      </c>
      <c r="E28" s="9">
        <v>3.7470000000000003E-2</v>
      </c>
      <c r="F28" s="9">
        <v>0.60673999999999995</v>
      </c>
      <c r="G28" s="9">
        <v>0.11204</v>
      </c>
      <c r="I28" s="5">
        <v>510</v>
      </c>
      <c r="J28" s="9">
        <f t="shared" si="1"/>
        <v>4.0393409400000007</v>
      </c>
      <c r="K28" s="9">
        <f t="shared" si="2"/>
        <v>65.407785480000001</v>
      </c>
      <c r="L28" s="9">
        <f t="shared" si="3"/>
        <v>12.07813608</v>
      </c>
      <c r="N28" s="5">
        <v>510</v>
      </c>
      <c r="O28" s="5" cm="1">
        <f t="array" aca="1" ref="O28:W28" ca="1">OFFSET('1'!$D$1,MATCH(Calculation!$N28,'1'!$D:$D,0)-1,0,1,COUNTA('1'!D28:ZY28))</f>
        <v>510</v>
      </c>
      <c r="P28" s="9">
        <f ca="1"/>
        <v>9.7159229220000004E-2</v>
      </c>
      <c r="Q28" s="9">
        <f ca="1"/>
        <v>7.4894517660000007E-2</v>
      </c>
      <c r="R28" s="9">
        <f ca="1"/>
        <v>0.14829728010000001</v>
      </c>
      <c r="S28">
        <f ca="1"/>
        <v>0.13062591849999999</v>
      </c>
      <c r="T28">
        <f ca="1"/>
        <v>0.12765607239999999</v>
      </c>
      <c r="U28">
        <f ca="1"/>
        <v>0.1959846318</v>
      </c>
      <c r="V28">
        <f ca="1"/>
        <v>8.7400540710000002E-2</v>
      </c>
      <c r="W28">
        <f ca="1"/>
        <v>9.1561608020000004E-2</v>
      </c>
    </row>
    <row r="29" spans="1:23">
      <c r="A29" s="5">
        <v>515</v>
      </c>
      <c r="B29" s="9">
        <v>106.29600000000001</v>
      </c>
      <c r="D29" s="5">
        <v>515</v>
      </c>
      <c r="E29" s="9">
        <v>7.1360000000000007E-2</v>
      </c>
      <c r="F29" s="9">
        <v>0.68566000000000005</v>
      </c>
      <c r="G29" s="9">
        <v>8.2250000000000004E-2</v>
      </c>
      <c r="I29" s="5">
        <v>515</v>
      </c>
      <c r="J29" s="9">
        <f t="shared" si="1"/>
        <v>7.5852825600000013</v>
      </c>
      <c r="K29" s="9">
        <f t="shared" si="2"/>
        <v>72.882915360000013</v>
      </c>
      <c r="L29" s="9">
        <f t="shared" si="3"/>
        <v>8.7428460000000001</v>
      </c>
      <c r="N29" s="5">
        <v>515</v>
      </c>
      <c r="O29" s="5" cm="1">
        <f t="array" aca="1" ref="O29:W29" ca="1">OFFSET('1'!$D$1,MATCH(Calculation!$N29,'1'!$D:$D,0)-1,0,1,COUNTA('1'!D29:ZY29))</f>
        <v>515</v>
      </c>
      <c r="P29" s="9">
        <f ca="1"/>
        <v>0.1047163829</v>
      </c>
      <c r="Q29" s="9">
        <f ca="1"/>
        <v>7.5698539610000004E-2</v>
      </c>
      <c r="R29" s="9">
        <f ca="1"/>
        <v>0.14973780510000001</v>
      </c>
      <c r="S29">
        <f ca="1"/>
        <v>0.13561433549999999</v>
      </c>
      <c r="T29">
        <f ca="1"/>
        <v>0.12792576850000001</v>
      </c>
      <c r="U29">
        <f ca="1"/>
        <v>0.19206012789999999</v>
      </c>
      <c r="V29">
        <f ca="1"/>
        <v>8.4855914120000001E-2</v>
      </c>
      <c r="W29">
        <f ca="1"/>
        <v>8.9089065790000005E-2</v>
      </c>
    </row>
    <row r="30" spans="1:23">
      <c r="A30" s="5">
        <v>520</v>
      </c>
      <c r="B30" s="9">
        <v>104.79</v>
      </c>
      <c r="D30" s="5">
        <v>520</v>
      </c>
      <c r="E30" s="9">
        <v>0.11774999999999999</v>
      </c>
      <c r="F30" s="9">
        <v>0.76175999999999999</v>
      </c>
      <c r="G30" s="9">
        <v>6.071E-2</v>
      </c>
      <c r="I30" s="5">
        <v>520</v>
      </c>
      <c r="J30" s="9">
        <f t="shared" si="1"/>
        <v>12.3390225</v>
      </c>
      <c r="K30" s="9">
        <f t="shared" si="2"/>
        <v>79.82483040000001</v>
      </c>
      <c r="L30" s="9">
        <f t="shared" si="3"/>
        <v>6.3618009000000004</v>
      </c>
      <c r="N30" s="5">
        <v>520</v>
      </c>
      <c r="O30" s="5" cm="1">
        <f t="array" aca="1" ref="O30:W30" ca="1">OFFSET('1'!$D$1,MATCH(Calculation!$N30,'1'!$D:$D,0)-1,0,1,COUNTA('1'!D30:ZY30))</f>
        <v>520</v>
      </c>
      <c r="P30" s="9">
        <f ca="1"/>
        <v>0.1124241352</v>
      </c>
      <c r="Q30" s="9">
        <f ca="1"/>
        <v>7.7350191770000007E-2</v>
      </c>
      <c r="R30" s="9">
        <f ca="1"/>
        <v>0.15193520490000001</v>
      </c>
      <c r="S30">
        <f ca="1"/>
        <v>0.1412312537</v>
      </c>
      <c r="T30">
        <f ca="1"/>
        <v>0.1287843883</v>
      </c>
      <c r="U30">
        <f ca="1"/>
        <v>0.1882756203</v>
      </c>
      <c r="V30">
        <f ca="1"/>
        <v>8.2650855179999996E-2</v>
      </c>
      <c r="W30">
        <f ca="1"/>
        <v>8.689066023E-2</v>
      </c>
    </row>
    <row r="31" spans="1:23">
      <c r="A31" s="5">
        <v>525</v>
      </c>
      <c r="B31" s="9">
        <v>106.239</v>
      </c>
      <c r="D31" s="5">
        <v>525</v>
      </c>
      <c r="E31" s="9">
        <v>0.17294999999999999</v>
      </c>
      <c r="F31" s="9">
        <v>0.82333000000000001</v>
      </c>
      <c r="G31" s="9">
        <v>4.3049999999999998E-2</v>
      </c>
      <c r="I31" s="5">
        <v>525</v>
      </c>
      <c r="J31" s="9">
        <f t="shared" si="1"/>
        <v>18.37403505</v>
      </c>
      <c r="K31" s="9">
        <f t="shared" si="2"/>
        <v>87.46975587</v>
      </c>
      <c r="L31" s="9">
        <f t="shared" si="3"/>
        <v>4.5735889499999995</v>
      </c>
      <c r="N31" s="5">
        <v>525</v>
      </c>
      <c r="O31" s="5" cm="1">
        <f t="array" aca="1" ref="O31:W31" ca="1">OFFSET('1'!$D$1,MATCH(Calculation!$N31,'1'!$D:$D,0)-1,0,1,COUNTA('1'!D31:ZY31))</f>
        <v>525</v>
      </c>
      <c r="P31" s="9">
        <f ca="1"/>
        <v>0.1213207021</v>
      </c>
      <c r="Q31" s="9">
        <f ca="1"/>
        <v>7.8618288039999998E-2</v>
      </c>
      <c r="R31" s="9">
        <f ca="1"/>
        <v>0.15681526060000001</v>
      </c>
      <c r="S31">
        <f ca="1"/>
        <v>0.14735409620000001</v>
      </c>
      <c r="T31">
        <f ca="1"/>
        <v>0.1304162294</v>
      </c>
      <c r="U31">
        <f ca="1"/>
        <v>0.185215354</v>
      </c>
      <c r="V31">
        <f ca="1"/>
        <v>8.0646991730000006E-2</v>
      </c>
      <c r="W31">
        <f ca="1"/>
        <v>8.5092738269999996E-2</v>
      </c>
    </row>
    <row r="32" spans="1:23">
      <c r="A32" s="5">
        <v>530</v>
      </c>
      <c r="B32" s="9">
        <v>107.68899999999999</v>
      </c>
      <c r="D32" s="5">
        <v>530</v>
      </c>
      <c r="E32" s="9">
        <v>0.23649000000000001</v>
      </c>
      <c r="F32" s="9">
        <v>0.87521000000000004</v>
      </c>
      <c r="G32" s="9">
        <v>3.0450000000000001E-2</v>
      </c>
      <c r="I32" s="5">
        <v>530</v>
      </c>
      <c r="J32" s="9">
        <f t="shared" si="1"/>
        <v>25.467371610000001</v>
      </c>
      <c r="K32" s="9">
        <f t="shared" si="2"/>
        <v>94.250489689999995</v>
      </c>
      <c r="L32" s="9">
        <f t="shared" si="3"/>
        <v>3.27913005</v>
      </c>
      <c r="N32" s="5">
        <v>530</v>
      </c>
      <c r="O32" s="5" cm="1">
        <f t="array" aca="1" ref="O32:W32" ca="1">OFFSET('1'!$D$1,MATCH(Calculation!$N32,'1'!$D:$D,0)-1,0,1,COUNTA('1'!D32:ZY32))</f>
        <v>530</v>
      </c>
      <c r="P32" s="9">
        <f ca="1"/>
        <v>0.12923096119999999</v>
      </c>
      <c r="Q32" s="9">
        <f ca="1"/>
        <v>8.0449365080000002E-2</v>
      </c>
      <c r="R32" s="9">
        <f ca="1"/>
        <v>0.15659093860000001</v>
      </c>
      <c r="S32">
        <f ca="1"/>
        <v>0.1542213261</v>
      </c>
      <c r="T32">
        <f ca="1"/>
        <v>0.1319613308</v>
      </c>
      <c r="U32">
        <f ca="1"/>
        <v>0.1817711592</v>
      </c>
      <c r="V32">
        <f ca="1"/>
        <v>7.8304111960000006E-2</v>
      </c>
      <c r="W32">
        <f ca="1"/>
        <v>8.2526654010000006E-2</v>
      </c>
    </row>
    <row r="33" spans="1:23">
      <c r="A33" s="5">
        <v>535</v>
      </c>
      <c r="B33" s="9">
        <v>106.047</v>
      </c>
      <c r="D33" s="5">
        <v>535</v>
      </c>
      <c r="E33" s="9">
        <v>0.30420999999999998</v>
      </c>
      <c r="F33" s="9">
        <v>0.92381000000000002</v>
      </c>
      <c r="G33" s="9">
        <v>2.0580000000000001E-2</v>
      </c>
      <c r="I33" s="5">
        <v>535</v>
      </c>
      <c r="J33" s="9">
        <f t="shared" si="1"/>
        <v>32.26055787</v>
      </c>
      <c r="K33" s="9">
        <f t="shared" si="2"/>
        <v>97.967279070000004</v>
      </c>
      <c r="L33" s="9">
        <f t="shared" si="3"/>
        <v>2.18244726</v>
      </c>
      <c r="N33" s="5">
        <v>535</v>
      </c>
      <c r="O33" s="5" cm="1">
        <f t="array" aca="1" ref="O33:W33" ca="1">OFFSET('1'!$D$1,MATCH(Calculation!$N33,'1'!$D:$D,0)-1,0,1,COUNTA('1'!D33:ZY33))</f>
        <v>535</v>
      </c>
      <c r="P33" s="9">
        <f ca="1"/>
        <v>0.1376959532</v>
      </c>
      <c r="Q33" s="9">
        <f ca="1"/>
        <v>8.2599192860000004E-2</v>
      </c>
      <c r="R33" s="9">
        <f ca="1"/>
        <v>0.16068840030000001</v>
      </c>
      <c r="S33">
        <f ca="1"/>
        <v>0.16165760160000001</v>
      </c>
      <c r="T33">
        <f ca="1"/>
        <v>0.13437542320000001</v>
      </c>
      <c r="U33">
        <f ca="1"/>
        <v>0.17960046230000001</v>
      </c>
      <c r="V33">
        <f ca="1"/>
        <v>7.6562188569999995E-2</v>
      </c>
      <c r="W33">
        <f ca="1"/>
        <v>8.1004105509999993E-2</v>
      </c>
    </row>
    <row r="34" spans="1:23">
      <c r="A34" s="5">
        <v>540</v>
      </c>
      <c r="B34" s="9">
        <v>104.405</v>
      </c>
      <c r="D34" s="5">
        <v>540</v>
      </c>
      <c r="E34" s="9">
        <v>0.37676999999999999</v>
      </c>
      <c r="F34" s="9">
        <v>0.96199000000000001</v>
      </c>
      <c r="G34" s="9">
        <v>1.3679999999999999E-2</v>
      </c>
      <c r="I34" s="5">
        <v>540</v>
      </c>
      <c r="J34" s="9">
        <f t="shared" si="1"/>
        <v>39.336671850000002</v>
      </c>
      <c r="K34" s="9">
        <f t="shared" si="2"/>
        <v>100.43656595</v>
      </c>
      <c r="L34" s="9">
        <f t="shared" si="3"/>
        <v>1.4282603999999999</v>
      </c>
      <c r="N34" s="5">
        <v>540</v>
      </c>
      <c r="O34" s="5" cm="1">
        <f t="array" aca="1" ref="O34:W34" ca="1">OFFSET('1'!$D$1,MATCH(Calculation!$N34,'1'!$D:$D,0)-1,0,1,COUNTA('1'!D34:ZY34))</f>
        <v>540</v>
      </c>
      <c r="P34" s="9">
        <f ca="1"/>
        <v>0.14519982040000001</v>
      </c>
      <c r="Q34" s="9">
        <f ca="1"/>
        <v>8.3028428259999995E-2</v>
      </c>
      <c r="R34" s="9">
        <f ca="1"/>
        <v>0.16572757069999999</v>
      </c>
      <c r="S34">
        <f ca="1"/>
        <v>0.1684290916</v>
      </c>
      <c r="T34">
        <f ca="1"/>
        <v>0.13653478029999999</v>
      </c>
      <c r="U34">
        <f ca="1"/>
        <v>0.1760629863</v>
      </c>
      <c r="V34">
        <f ca="1"/>
        <v>7.4569068850000003E-2</v>
      </c>
      <c r="W34">
        <f ca="1"/>
        <v>7.9502321779999996E-2</v>
      </c>
    </row>
    <row r="35" spans="1:23">
      <c r="A35" s="5">
        <v>545</v>
      </c>
      <c r="B35" s="9">
        <v>104.22499999999999</v>
      </c>
      <c r="D35" s="5">
        <v>545</v>
      </c>
      <c r="E35" s="9">
        <v>0.45157999999999998</v>
      </c>
      <c r="F35" s="9">
        <v>0.98219999999999996</v>
      </c>
      <c r="G35" s="9">
        <v>7.92E-3</v>
      </c>
      <c r="I35" s="5">
        <v>545</v>
      </c>
      <c r="J35" s="9">
        <f t="shared" si="1"/>
        <v>47.065925499999999</v>
      </c>
      <c r="K35" s="9">
        <f t="shared" si="2"/>
        <v>102.369795</v>
      </c>
      <c r="L35" s="9">
        <f t="shared" si="3"/>
        <v>0.82546199999999992</v>
      </c>
      <c r="N35" s="5">
        <v>545</v>
      </c>
      <c r="O35" s="5" cm="1">
        <f t="array" aca="1" ref="O35:W35" ca="1">OFFSET('1'!$D$1,MATCH(Calculation!$N35,'1'!$D:$D,0)-1,0,1,COUNTA('1'!D35:ZY35))</f>
        <v>545</v>
      </c>
      <c r="P35" s="9">
        <f ca="1"/>
        <v>0.15231421589999999</v>
      </c>
      <c r="Q35" s="9">
        <f ca="1"/>
        <v>8.4712840619999993E-2</v>
      </c>
      <c r="R35" s="9">
        <f ca="1"/>
        <v>0.1655192077</v>
      </c>
      <c r="S35">
        <f ca="1"/>
        <v>0.17617407439999999</v>
      </c>
      <c r="T35">
        <f ca="1"/>
        <v>0.13918119670000001</v>
      </c>
      <c r="U35">
        <f ca="1"/>
        <v>0.17429837579999999</v>
      </c>
      <c r="V35">
        <f ca="1"/>
        <v>7.3102690279999993E-2</v>
      </c>
      <c r="W35">
        <f ca="1"/>
        <v>7.7398724850000003E-2</v>
      </c>
    </row>
    <row r="36" spans="1:23">
      <c r="A36" s="5">
        <v>550</v>
      </c>
      <c r="B36" s="9">
        <v>104.04600000000001</v>
      </c>
      <c r="D36" s="5">
        <v>550</v>
      </c>
      <c r="E36" s="9">
        <v>0.52983000000000002</v>
      </c>
      <c r="F36" s="9">
        <v>0.99175999999999997</v>
      </c>
      <c r="G36" s="9">
        <v>3.9899999999999996E-3</v>
      </c>
      <c r="I36" s="5">
        <v>550</v>
      </c>
      <c r="J36" s="9">
        <f t="shared" si="1"/>
        <v>55.126692180000006</v>
      </c>
      <c r="K36" s="9">
        <f t="shared" si="2"/>
        <v>103.18866096000001</v>
      </c>
      <c r="L36" s="9">
        <f t="shared" si="3"/>
        <v>0.41514353999999998</v>
      </c>
      <c r="N36" s="5">
        <v>550</v>
      </c>
      <c r="O36" s="5" cm="1">
        <f t="array" aca="1" ref="O36:W36" ca="1">OFFSET('1'!$D$1,MATCH(Calculation!$N36,'1'!$D:$D,0)-1,0,1,COUNTA('1'!D36:ZY36))</f>
        <v>550</v>
      </c>
      <c r="P36" s="9">
        <f ca="1"/>
        <v>0.15949320789999999</v>
      </c>
      <c r="Q36" s="9">
        <f ca="1"/>
        <v>8.5523001850000002E-2</v>
      </c>
      <c r="R36" s="9">
        <f ca="1"/>
        <v>0.1691211909</v>
      </c>
      <c r="S36">
        <f ca="1"/>
        <v>0.18443310260000001</v>
      </c>
      <c r="T36">
        <f ca="1"/>
        <v>0.14173264799999999</v>
      </c>
      <c r="U36">
        <f ca="1"/>
        <v>0.17206712069999999</v>
      </c>
      <c r="V36">
        <f ca="1"/>
        <v>7.1054361760000004E-2</v>
      </c>
      <c r="W36">
        <f ca="1"/>
        <v>7.5435981149999998E-2</v>
      </c>
    </row>
    <row r="37" spans="1:23">
      <c r="A37" s="5">
        <v>555</v>
      </c>
      <c r="B37" s="9">
        <v>102.023</v>
      </c>
      <c r="D37" s="5">
        <v>555</v>
      </c>
      <c r="E37" s="9">
        <v>0.61604999999999999</v>
      </c>
      <c r="F37" s="9">
        <v>0.99911000000000005</v>
      </c>
      <c r="G37" s="9">
        <v>1.09E-3</v>
      </c>
      <c r="I37" s="5">
        <v>555</v>
      </c>
      <c r="J37" s="9">
        <f t="shared" si="1"/>
        <v>62.851269149999993</v>
      </c>
      <c r="K37" s="9">
        <f t="shared" si="2"/>
        <v>101.93219953000001</v>
      </c>
      <c r="L37" s="9">
        <f t="shared" si="3"/>
        <v>0.11120507</v>
      </c>
      <c r="N37" s="5">
        <v>555</v>
      </c>
      <c r="O37" s="5" cm="1">
        <f t="array" aca="1" ref="O37:W37" ca="1">OFFSET('1'!$D$1,MATCH(Calculation!$N37,'1'!$D:$D,0)-1,0,1,COUNTA('1'!D37:ZY37))</f>
        <v>555</v>
      </c>
      <c r="P37" s="9">
        <f ca="1"/>
        <v>0.1683657616</v>
      </c>
      <c r="Q37" s="9">
        <f ca="1"/>
        <v>8.7120756509999994E-2</v>
      </c>
      <c r="R37" s="9">
        <f ca="1"/>
        <v>0.1719439924</v>
      </c>
      <c r="S37">
        <f ca="1"/>
        <v>0.193529442</v>
      </c>
      <c r="T37">
        <f ca="1"/>
        <v>0.14530256389999999</v>
      </c>
      <c r="U37">
        <f ca="1"/>
        <v>0.1705895513</v>
      </c>
      <c r="V37">
        <f ca="1"/>
        <v>6.9597199560000003E-2</v>
      </c>
      <c r="W37">
        <f ca="1"/>
        <v>7.4266307059999995E-2</v>
      </c>
    </row>
    <row r="38" spans="1:23">
      <c r="A38" s="5">
        <v>560</v>
      </c>
      <c r="B38" s="9">
        <v>100</v>
      </c>
      <c r="D38" s="5">
        <v>560</v>
      </c>
      <c r="E38" s="9">
        <v>0.70521999999999996</v>
      </c>
      <c r="F38" s="9">
        <v>0.99734</v>
      </c>
      <c r="G38" s="9">
        <v>0</v>
      </c>
      <c r="I38" s="5">
        <v>560</v>
      </c>
      <c r="J38" s="9">
        <f t="shared" si="1"/>
        <v>70.521999999999991</v>
      </c>
      <c r="K38" s="9">
        <f t="shared" si="2"/>
        <v>99.733999999999995</v>
      </c>
      <c r="L38" s="9">
        <f t="shared" si="3"/>
        <v>0</v>
      </c>
      <c r="N38" s="5">
        <v>560</v>
      </c>
      <c r="O38" s="5" cm="1">
        <f t="array" aca="1" ref="O38:W38" ca="1">OFFSET('1'!$D$1,MATCH(Calculation!$N38,'1'!$D:$D,0)-1,0,1,COUNTA('1'!D38:ZY38))</f>
        <v>560</v>
      </c>
      <c r="P38" s="9">
        <f ca="1"/>
        <v>0.1781984717</v>
      </c>
      <c r="Q38" s="9">
        <f ca="1"/>
        <v>8.9206665749999997E-2</v>
      </c>
      <c r="R38" s="9">
        <f ca="1"/>
        <v>0.17658562959999999</v>
      </c>
      <c r="S38">
        <f ca="1"/>
        <v>0.20389907060000001</v>
      </c>
      <c r="T38">
        <f ca="1"/>
        <v>0.14926750959999999</v>
      </c>
      <c r="U38">
        <f ca="1"/>
        <v>0.1689473987</v>
      </c>
      <c r="V38">
        <f ca="1"/>
        <v>6.829763204E-2</v>
      </c>
      <c r="W38">
        <f ca="1"/>
        <v>7.3039039969999997E-2</v>
      </c>
    </row>
    <row r="39" spans="1:23">
      <c r="A39" s="5">
        <v>565</v>
      </c>
      <c r="B39" s="9">
        <v>98.167100000000005</v>
      </c>
      <c r="D39" s="5">
        <v>565</v>
      </c>
      <c r="E39" s="9">
        <v>0.79383000000000004</v>
      </c>
      <c r="F39" s="9">
        <v>0.98238000000000003</v>
      </c>
      <c r="G39" s="9">
        <v>0</v>
      </c>
      <c r="I39" s="5">
        <v>565</v>
      </c>
      <c r="J39" s="9">
        <f t="shared" si="1"/>
        <v>77.927988993000014</v>
      </c>
      <c r="K39" s="9">
        <f t="shared" si="2"/>
        <v>96.437395698000003</v>
      </c>
      <c r="L39" s="9">
        <f t="shared" si="3"/>
        <v>0</v>
      </c>
      <c r="N39" s="5">
        <v>565</v>
      </c>
      <c r="O39" s="5" cm="1">
        <f t="array" aca="1" ref="O39:W39" ca="1">OFFSET('1'!$D$1,MATCH(Calculation!$N39,'1'!$D:$D,0)-1,0,1,COUNTA('1'!D39:ZY39))</f>
        <v>565</v>
      </c>
      <c r="P39" s="9">
        <f ca="1"/>
        <v>0.1894405186</v>
      </c>
      <c r="Q39" s="9">
        <f ca="1"/>
        <v>9.1358542439999996E-2</v>
      </c>
      <c r="R39" s="9">
        <f ca="1"/>
        <v>0.1815253496</v>
      </c>
      <c r="S39">
        <f ca="1"/>
        <v>0.214810431</v>
      </c>
      <c r="T39">
        <f ca="1"/>
        <v>0.15371380749999999</v>
      </c>
      <c r="U39">
        <f ca="1"/>
        <v>0.16815140840000001</v>
      </c>
      <c r="V39">
        <f ca="1"/>
        <v>6.7209787670000007E-2</v>
      </c>
      <c r="W39">
        <f ca="1"/>
        <v>7.1703769269999995E-2</v>
      </c>
    </row>
    <row r="40" spans="1:23">
      <c r="A40" s="5">
        <v>570</v>
      </c>
      <c r="B40" s="9">
        <v>96.334199999999996</v>
      </c>
      <c r="D40" s="5">
        <v>570</v>
      </c>
      <c r="E40" s="9">
        <v>0.87866</v>
      </c>
      <c r="F40" s="9">
        <v>0.95555000000000001</v>
      </c>
      <c r="G40" s="9">
        <v>0</v>
      </c>
      <c r="I40" s="5">
        <v>570</v>
      </c>
      <c r="J40" s="9">
        <f t="shared" si="1"/>
        <v>84.64500817199999</v>
      </c>
      <c r="K40" s="9">
        <f t="shared" si="2"/>
        <v>92.052144810000001</v>
      </c>
      <c r="L40" s="9">
        <f t="shared" si="3"/>
        <v>0</v>
      </c>
      <c r="N40" s="5">
        <v>570</v>
      </c>
      <c r="O40" s="5" cm="1">
        <f t="array" aca="1" ref="O40:W40" ca="1">OFFSET('1'!$D$1,MATCH(Calculation!$N40,'1'!$D:$D,0)-1,0,1,COUNTA('1'!D40:ZY40))</f>
        <v>570</v>
      </c>
      <c r="P40" s="9">
        <f ca="1"/>
        <v>0.19968870280000001</v>
      </c>
      <c r="Q40" s="9">
        <f ca="1"/>
        <v>9.3533046539999998E-2</v>
      </c>
      <c r="R40" s="9">
        <f ca="1"/>
        <v>0.18573068079999999</v>
      </c>
      <c r="S40">
        <f ca="1"/>
        <v>0.22588540609999999</v>
      </c>
      <c r="T40">
        <f ca="1"/>
        <v>0.15829634670000001</v>
      </c>
      <c r="U40">
        <f ca="1"/>
        <v>0.1669156849</v>
      </c>
      <c r="V40">
        <f ca="1"/>
        <v>6.5541759130000002E-2</v>
      </c>
      <c r="W40">
        <f ca="1"/>
        <v>7.0342212919999994E-2</v>
      </c>
    </row>
    <row r="41" spans="1:23">
      <c r="A41" s="5">
        <v>575</v>
      </c>
      <c r="B41" s="9">
        <v>96.061099999999996</v>
      </c>
      <c r="D41" s="5">
        <v>575</v>
      </c>
      <c r="E41" s="9">
        <v>0.95116000000000001</v>
      </c>
      <c r="F41" s="9">
        <v>0.91517999999999999</v>
      </c>
      <c r="G41" s="9">
        <v>0</v>
      </c>
      <c r="I41" s="5">
        <v>575</v>
      </c>
      <c r="J41" s="9">
        <f t="shared" si="1"/>
        <v>91.369475875999996</v>
      </c>
      <c r="K41" s="9">
        <f t="shared" si="2"/>
        <v>87.913197498000002</v>
      </c>
      <c r="L41" s="9">
        <f t="shared" si="3"/>
        <v>0</v>
      </c>
      <c r="N41" s="5">
        <v>575</v>
      </c>
      <c r="O41" s="5" cm="1">
        <f t="array" aca="1" ref="O41:W41" ca="1">OFFSET('1'!$D$1,MATCH(Calculation!$N41,'1'!$D:$D,0)-1,0,1,COUNTA('1'!D41:ZY41))</f>
        <v>575</v>
      </c>
      <c r="P41" s="9">
        <f ca="1"/>
        <v>0.2094691545</v>
      </c>
      <c r="Q41" s="9">
        <f ca="1"/>
        <v>9.5187380909999994E-2</v>
      </c>
      <c r="R41" s="9">
        <f ca="1"/>
        <v>0.18888103959999999</v>
      </c>
      <c r="S41">
        <f ca="1"/>
        <v>0.2366907597</v>
      </c>
      <c r="T41">
        <f ca="1"/>
        <v>0.1623665094</v>
      </c>
      <c r="U41">
        <f ca="1"/>
        <v>0.16595017910000001</v>
      </c>
      <c r="V41">
        <f ca="1"/>
        <v>6.4040362830000003E-2</v>
      </c>
      <c r="W41">
        <f ca="1"/>
        <v>6.8597525359999995E-2</v>
      </c>
    </row>
    <row r="42" spans="1:23">
      <c r="A42" s="5">
        <v>580</v>
      </c>
      <c r="B42" s="9">
        <v>95.787999999999997</v>
      </c>
      <c r="D42" s="5">
        <v>580</v>
      </c>
      <c r="E42" s="9">
        <v>1.01416</v>
      </c>
      <c r="F42" s="9">
        <v>0.86892999999999998</v>
      </c>
      <c r="G42" s="9">
        <v>0</v>
      </c>
      <c r="I42" s="5">
        <v>580</v>
      </c>
      <c r="J42" s="9">
        <f t="shared" si="1"/>
        <v>97.144358079999989</v>
      </c>
      <c r="K42" s="9">
        <f t="shared" si="2"/>
        <v>83.233066839999992</v>
      </c>
      <c r="L42" s="9">
        <f t="shared" si="3"/>
        <v>0</v>
      </c>
      <c r="N42" s="5">
        <v>580</v>
      </c>
      <c r="O42" s="5" cm="1">
        <f t="array" aca="1" ref="O42:W42" ca="1">OFFSET('1'!$D$1,MATCH(Calculation!$N42,'1'!$D:$D,0)-1,0,1,COUNTA('1'!D42:ZY42))</f>
        <v>580</v>
      </c>
      <c r="P42" s="9">
        <f ca="1"/>
        <v>0.21736174820000001</v>
      </c>
      <c r="Q42" s="9">
        <f ca="1"/>
        <v>9.6660502250000002E-2</v>
      </c>
      <c r="R42" s="9">
        <f ca="1"/>
        <v>0.1912943721</v>
      </c>
      <c r="S42">
        <f ca="1"/>
        <v>0.24794426559999999</v>
      </c>
      <c r="T42">
        <f ca="1"/>
        <v>0.16698417069999999</v>
      </c>
      <c r="U42">
        <f ca="1"/>
        <v>0.16509926320000001</v>
      </c>
      <c r="V42">
        <f ca="1"/>
        <v>6.2718078489999995E-2</v>
      </c>
      <c r="W42">
        <f ca="1"/>
        <v>6.7276515070000001E-2</v>
      </c>
    </row>
    <row r="43" spans="1:23">
      <c r="A43" s="5">
        <v>585</v>
      </c>
      <c r="B43" s="9">
        <v>92.236800000000002</v>
      </c>
      <c r="D43" s="5">
        <v>585</v>
      </c>
      <c r="E43" s="9">
        <v>1.0743</v>
      </c>
      <c r="F43" s="9">
        <v>0.82562000000000002</v>
      </c>
      <c r="G43" s="9">
        <v>0</v>
      </c>
      <c r="I43" s="5">
        <v>585</v>
      </c>
      <c r="J43" s="9">
        <f t="shared" si="1"/>
        <v>99.08999424000001</v>
      </c>
      <c r="K43" s="9">
        <f t="shared" si="2"/>
        <v>76.152546815999997</v>
      </c>
      <c r="L43" s="9">
        <f t="shared" si="3"/>
        <v>0</v>
      </c>
      <c r="N43" s="5">
        <v>585</v>
      </c>
      <c r="O43" s="5" cm="1">
        <f t="array" aca="1" ref="O43:W43" ca="1">OFFSET('1'!$D$1,MATCH(Calculation!$N43,'1'!$D:$D,0)-1,0,1,COUNTA('1'!D43:ZY43))</f>
        <v>585</v>
      </c>
      <c r="P43" s="9">
        <f ca="1"/>
        <v>0.22391931709999999</v>
      </c>
      <c r="Q43" s="9">
        <f ca="1"/>
        <v>9.7438596190000004E-2</v>
      </c>
      <c r="R43" s="9">
        <f ca="1"/>
        <v>0.19377668200000001</v>
      </c>
      <c r="S43">
        <f ca="1"/>
        <v>0.25863492490000001</v>
      </c>
      <c r="T43">
        <f ca="1"/>
        <v>0.17124474049999999</v>
      </c>
      <c r="U43">
        <f ca="1"/>
        <v>0.1643325984</v>
      </c>
      <c r="V43">
        <f ca="1"/>
        <v>6.1888840049999998E-2</v>
      </c>
      <c r="W43">
        <f ca="1"/>
        <v>6.6514112060000005E-2</v>
      </c>
    </row>
    <row r="44" spans="1:23">
      <c r="A44" s="5">
        <v>590</v>
      </c>
      <c r="B44" s="9">
        <v>88.685599999999994</v>
      </c>
      <c r="D44" s="5">
        <v>590</v>
      </c>
      <c r="E44" s="9">
        <v>1.11852</v>
      </c>
      <c r="F44" s="9">
        <v>0.77741000000000005</v>
      </c>
      <c r="G44" s="9">
        <v>0</v>
      </c>
      <c r="I44" s="5">
        <v>590</v>
      </c>
      <c r="J44" s="9">
        <f t="shared" si="1"/>
        <v>99.196617311999987</v>
      </c>
      <c r="K44" s="9">
        <f t="shared" si="2"/>
        <v>68.945072295999992</v>
      </c>
      <c r="L44" s="9">
        <f t="shared" si="3"/>
        <v>0</v>
      </c>
      <c r="N44" s="5">
        <v>590</v>
      </c>
      <c r="O44" s="5" cm="1">
        <f t="array" aca="1" ref="O44:W44" ca="1">OFFSET('1'!$D$1,MATCH(Calculation!$N44,'1'!$D:$D,0)-1,0,1,COUNTA('1'!D44:ZY44))</f>
        <v>590</v>
      </c>
      <c r="P44" s="9">
        <f ca="1"/>
        <v>0.2288015783</v>
      </c>
      <c r="Q44" s="9">
        <f ca="1"/>
        <v>9.7344264390000004E-2</v>
      </c>
      <c r="R44" s="9">
        <f ca="1"/>
        <v>0.19411624969999999</v>
      </c>
      <c r="S44">
        <f ca="1"/>
        <v>0.2693839073</v>
      </c>
      <c r="T44">
        <f ca="1"/>
        <v>0.17536155880000001</v>
      </c>
      <c r="U44">
        <f ca="1"/>
        <v>0.16358835999999999</v>
      </c>
      <c r="V44">
        <f ca="1"/>
        <v>6.0220208019999999E-2</v>
      </c>
      <c r="W44">
        <f ca="1"/>
        <v>6.4972043039999997E-2</v>
      </c>
    </row>
    <row r="45" spans="1:23">
      <c r="A45" s="5">
        <v>595</v>
      </c>
      <c r="B45" s="9">
        <v>89.3459</v>
      </c>
      <c r="D45" s="5">
        <v>595</v>
      </c>
      <c r="E45" s="9">
        <v>1.1343000000000001</v>
      </c>
      <c r="F45" s="9">
        <v>0.72035000000000005</v>
      </c>
      <c r="G45" s="9">
        <v>0</v>
      </c>
      <c r="I45" s="5">
        <v>595</v>
      </c>
      <c r="J45" s="9">
        <f t="shared" si="1"/>
        <v>101.34505437000001</v>
      </c>
      <c r="K45" s="9">
        <f t="shared" si="2"/>
        <v>64.360319064999999</v>
      </c>
      <c r="L45" s="9">
        <f t="shared" si="3"/>
        <v>0</v>
      </c>
      <c r="N45" s="5">
        <v>595</v>
      </c>
      <c r="O45" s="5" cm="1">
        <f t="array" aca="1" ref="O45:W45" ca="1">OFFSET('1'!$D$1,MATCH(Calculation!$N45,'1'!$D:$D,0)-1,0,1,COUNTA('1'!D45:ZY45))</f>
        <v>595</v>
      </c>
      <c r="P45" s="9">
        <f ca="1"/>
        <v>0.23337565360000001</v>
      </c>
      <c r="Q45" s="9">
        <f ca="1"/>
        <v>9.7092732789999997E-2</v>
      </c>
      <c r="R45" s="9">
        <f ca="1"/>
        <v>0.19428181650000001</v>
      </c>
      <c r="S45">
        <f ca="1"/>
        <v>0.28052178030000002</v>
      </c>
      <c r="T45">
        <f ca="1"/>
        <v>0.17926594609999999</v>
      </c>
      <c r="U45">
        <f ca="1"/>
        <v>0.16295322779999999</v>
      </c>
      <c r="V45">
        <f ca="1"/>
        <v>5.9259071949999999E-2</v>
      </c>
      <c r="W45">
        <f ca="1"/>
        <v>6.3928119840000006E-2</v>
      </c>
    </row>
    <row r="46" spans="1:23">
      <c r="A46" s="5">
        <v>600</v>
      </c>
      <c r="B46" s="9">
        <v>90.006200000000007</v>
      </c>
      <c r="D46" s="5">
        <v>600</v>
      </c>
      <c r="E46" s="9">
        <v>1.12399</v>
      </c>
      <c r="F46" s="9">
        <v>0.65834000000000004</v>
      </c>
      <c r="G46" s="9">
        <v>0</v>
      </c>
      <c r="I46" s="5">
        <v>600</v>
      </c>
      <c r="J46" s="9">
        <f t="shared" si="1"/>
        <v>101.16606873800001</v>
      </c>
      <c r="K46" s="9">
        <f t="shared" si="2"/>
        <v>59.254681708000007</v>
      </c>
      <c r="L46" s="9">
        <f t="shared" si="3"/>
        <v>0</v>
      </c>
      <c r="N46" s="5">
        <v>600</v>
      </c>
      <c r="O46" s="5" cm="1">
        <f t="array" aca="1" ref="O46:W46" ca="1">OFFSET('1'!$D$1,MATCH(Calculation!$N46,'1'!$D:$D,0)-1,0,1,COUNTA('1'!D46:ZY46))</f>
        <v>600</v>
      </c>
      <c r="P46" s="9">
        <f ca="1"/>
        <v>0.2375386357</v>
      </c>
      <c r="Q46" s="9">
        <f ca="1"/>
        <v>9.7249247129999994E-2</v>
      </c>
      <c r="R46" s="9">
        <f ca="1"/>
        <v>0.19322507080000001</v>
      </c>
      <c r="S46">
        <f ca="1"/>
        <v>0.29097065329999999</v>
      </c>
      <c r="T46">
        <f ca="1"/>
        <v>0.18221743400000001</v>
      </c>
      <c r="U46">
        <f ca="1"/>
        <v>0.1619025171</v>
      </c>
      <c r="V46">
        <f ca="1"/>
        <v>5.7912196960000002E-2</v>
      </c>
      <c r="W46">
        <f ca="1"/>
        <v>6.2742933629999997E-2</v>
      </c>
    </row>
    <row r="47" spans="1:23">
      <c r="A47" s="5">
        <v>605</v>
      </c>
      <c r="B47" s="9">
        <v>89.802599999999998</v>
      </c>
      <c r="D47" s="5">
        <v>605</v>
      </c>
      <c r="E47" s="9">
        <v>1.0891</v>
      </c>
      <c r="F47" s="9">
        <v>0.59387999999999996</v>
      </c>
      <c r="G47" s="9">
        <v>0</v>
      </c>
      <c r="I47" s="5">
        <v>605</v>
      </c>
      <c r="J47" s="9">
        <f t="shared" si="1"/>
        <v>97.80401166</v>
      </c>
      <c r="K47" s="9">
        <f t="shared" si="2"/>
        <v>53.331968087999996</v>
      </c>
      <c r="L47" s="9">
        <f t="shared" si="3"/>
        <v>0</v>
      </c>
      <c r="N47" s="5">
        <v>605</v>
      </c>
      <c r="O47" s="5" cm="1">
        <f t="array" aca="1" ref="O47:W47" ca="1">OFFSET('1'!$D$1,MATCH(Calculation!$N47,'1'!$D:$D,0)-1,0,1,COUNTA('1'!D47:ZY47))</f>
        <v>605</v>
      </c>
      <c r="P47" s="9">
        <f ca="1"/>
        <v>0.2432335913</v>
      </c>
      <c r="Q47" s="9">
        <f ca="1"/>
        <v>9.7077585760000001E-2</v>
      </c>
      <c r="R47" s="9">
        <f ca="1"/>
        <v>0.19583800439999999</v>
      </c>
      <c r="S47">
        <f ca="1"/>
        <v>0.30166488889999998</v>
      </c>
      <c r="T47">
        <f ca="1"/>
        <v>0.1853665411</v>
      </c>
      <c r="U47">
        <f ca="1"/>
        <v>0.16073851289999999</v>
      </c>
      <c r="V47">
        <f ca="1"/>
        <v>5.6755352770000003E-2</v>
      </c>
      <c r="W47">
        <f ca="1"/>
        <v>6.1300735920000002E-2</v>
      </c>
    </row>
    <row r="48" spans="1:23">
      <c r="A48" s="5">
        <v>610</v>
      </c>
      <c r="B48" s="9">
        <v>89.599100000000007</v>
      </c>
      <c r="D48" s="5">
        <v>610</v>
      </c>
      <c r="E48" s="9">
        <v>1.0304800000000001</v>
      </c>
      <c r="F48" s="9">
        <v>0.52795999999999998</v>
      </c>
      <c r="G48" s="9">
        <v>0</v>
      </c>
      <c r="I48" s="5">
        <v>610</v>
      </c>
      <c r="J48" s="9">
        <f t="shared" si="1"/>
        <v>92.330080568000014</v>
      </c>
      <c r="K48" s="9">
        <f t="shared" si="2"/>
        <v>47.304740836000001</v>
      </c>
      <c r="L48" s="9">
        <f t="shared" si="3"/>
        <v>0</v>
      </c>
      <c r="N48" s="5">
        <v>610</v>
      </c>
      <c r="O48" s="5" cm="1">
        <f t="array" aca="1" ref="O48:W48" ca="1">OFFSET('1'!$D$1,MATCH(Calculation!$N48,'1'!$D:$D,0)-1,0,1,COUNTA('1'!D48:ZY48))</f>
        <v>610</v>
      </c>
      <c r="P48" s="9">
        <f ca="1"/>
        <v>0.2486481965</v>
      </c>
      <c r="Q48" s="9">
        <f ca="1"/>
        <v>9.7090922299999993E-2</v>
      </c>
      <c r="R48" s="9">
        <f ca="1"/>
        <v>0.19649381939999999</v>
      </c>
      <c r="S48">
        <f ca="1"/>
        <v>0.31169340010000002</v>
      </c>
      <c r="T48">
        <f ca="1"/>
        <v>0.1878043264</v>
      </c>
      <c r="U48">
        <f ca="1"/>
        <v>0.1594669819</v>
      </c>
      <c r="V48">
        <f ca="1"/>
        <v>5.5300999429999997E-2</v>
      </c>
      <c r="W48">
        <f ca="1"/>
        <v>6.0004614290000001E-2</v>
      </c>
    </row>
    <row r="49" spans="1:23">
      <c r="A49" s="5">
        <v>615</v>
      </c>
      <c r="B49" s="9">
        <v>88.648899999999998</v>
      </c>
      <c r="D49" s="5">
        <v>615</v>
      </c>
      <c r="E49" s="9">
        <v>0.95074000000000003</v>
      </c>
      <c r="F49" s="9">
        <v>0.46183000000000002</v>
      </c>
      <c r="G49" s="9">
        <v>0</v>
      </c>
      <c r="I49" s="5">
        <v>615</v>
      </c>
      <c r="J49" s="9">
        <f t="shared" si="1"/>
        <v>84.282055185999994</v>
      </c>
      <c r="K49" s="9">
        <f t="shared" si="2"/>
        <v>40.940721486999998</v>
      </c>
      <c r="L49" s="9">
        <f t="shared" si="3"/>
        <v>0</v>
      </c>
      <c r="N49" s="5">
        <v>615</v>
      </c>
      <c r="O49" s="5" cm="1">
        <f t="array" aca="1" ref="O49:W49" ca="1">OFFSET('1'!$D$1,MATCH(Calculation!$N49,'1'!$D:$D,0)-1,0,1,COUNTA('1'!D49:ZY49))</f>
        <v>615</v>
      </c>
      <c r="P49" s="9">
        <f ca="1"/>
        <v>0.25420734290000002</v>
      </c>
      <c r="Q49" s="9">
        <f ca="1"/>
        <v>9.7800135610000005E-2</v>
      </c>
      <c r="R49" s="9">
        <f ca="1"/>
        <v>0.19696578379999999</v>
      </c>
      <c r="S49">
        <f ca="1"/>
        <v>0.32064539190000002</v>
      </c>
      <c r="T49">
        <f ca="1"/>
        <v>0.1902264357</v>
      </c>
      <c r="U49">
        <f ca="1"/>
        <v>0.15812799329999999</v>
      </c>
      <c r="V49">
        <f ca="1"/>
        <v>5.384663865E-2</v>
      </c>
      <c r="W49">
        <f ca="1"/>
        <v>5.8665327730000001E-2</v>
      </c>
    </row>
    <row r="50" spans="1:23">
      <c r="A50" s="5">
        <v>620</v>
      </c>
      <c r="B50" s="9">
        <v>87.698700000000002</v>
      </c>
      <c r="D50" s="5">
        <v>620</v>
      </c>
      <c r="E50" s="9">
        <v>0.85629999999999995</v>
      </c>
      <c r="F50" s="9">
        <v>0.39806000000000002</v>
      </c>
      <c r="G50" s="9">
        <v>0</v>
      </c>
      <c r="I50" s="5">
        <v>620</v>
      </c>
      <c r="J50" s="9">
        <f t="shared" si="1"/>
        <v>75.096396810000002</v>
      </c>
      <c r="K50" s="9">
        <f t="shared" si="2"/>
        <v>34.909344522000005</v>
      </c>
      <c r="L50" s="9">
        <f t="shared" si="3"/>
        <v>0</v>
      </c>
      <c r="N50" s="5">
        <v>620</v>
      </c>
      <c r="O50" s="5" cm="1">
        <f t="array" aca="1" ref="O50:W50" ca="1">OFFSET('1'!$D$1,MATCH(Calculation!$N50,'1'!$D:$D,0)-1,0,1,COUNTA('1'!D50:ZY50))</f>
        <v>620</v>
      </c>
      <c r="P50" s="9">
        <f ca="1"/>
        <v>0.2596469522</v>
      </c>
      <c r="Q50" s="9">
        <f ca="1"/>
        <v>9.8319031299999998E-2</v>
      </c>
      <c r="R50" s="9">
        <f ca="1"/>
        <v>0.19838146870000001</v>
      </c>
      <c r="S50">
        <f ca="1"/>
        <v>0.32865950469999999</v>
      </c>
      <c r="T50">
        <f ca="1"/>
        <v>0.1923228055</v>
      </c>
      <c r="U50">
        <f ca="1"/>
        <v>0.15679490569999999</v>
      </c>
      <c r="V50">
        <f ca="1"/>
        <v>5.292539299E-2</v>
      </c>
      <c r="W50">
        <f ca="1"/>
        <v>5.7961948219999997E-2</v>
      </c>
    </row>
    <row r="51" spans="1:23">
      <c r="A51" s="5">
        <v>625</v>
      </c>
      <c r="B51" s="9">
        <v>85.493600000000001</v>
      </c>
      <c r="D51" s="5">
        <v>625</v>
      </c>
      <c r="E51" s="9">
        <v>0.75492999999999999</v>
      </c>
      <c r="F51" s="9">
        <v>0.33955000000000002</v>
      </c>
      <c r="G51" s="9">
        <v>0</v>
      </c>
      <c r="I51" s="5">
        <v>625</v>
      </c>
      <c r="J51" s="9">
        <f t="shared" si="1"/>
        <v>64.541683448000001</v>
      </c>
      <c r="K51" s="9">
        <f t="shared" si="2"/>
        <v>29.02935188</v>
      </c>
      <c r="L51" s="9">
        <f t="shared" si="3"/>
        <v>0</v>
      </c>
      <c r="N51" s="5">
        <v>625</v>
      </c>
      <c r="O51" s="5" cm="1">
        <f t="array" aca="1" ref="O51:W51" ca="1">OFFSET('1'!$D$1,MATCH(Calculation!$N51,'1'!$D:$D,0)-1,0,1,COUNTA('1'!D51:ZY51))</f>
        <v>625</v>
      </c>
      <c r="P51" s="9">
        <f ca="1"/>
        <v>0.26277771589999999</v>
      </c>
      <c r="Q51" s="9">
        <f ca="1"/>
        <v>9.7829610110000007E-2</v>
      </c>
      <c r="R51" s="9">
        <f ca="1"/>
        <v>0.19783374670000001</v>
      </c>
      <c r="S51">
        <f ca="1"/>
        <v>0.33468130229999998</v>
      </c>
      <c r="T51">
        <f ca="1"/>
        <v>0.19305473570000001</v>
      </c>
      <c r="U51">
        <f ca="1"/>
        <v>0.15471702809999999</v>
      </c>
      <c r="V51">
        <f ca="1"/>
        <v>5.1748611030000002E-2</v>
      </c>
      <c r="W51">
        <f ca="1"/>
        <v>5.6769631799999998E-2</v>
      </c>
    </row>
    <row r="52" spans="1:23">
      <c r="A52" s="5">
        <v>630</v>
      </c>
      <c r="B52" s="9">
        <v>83.288600000000002</v>
      </c>
      <c r="D52" s="5">
        <v>630</v>
      </c>
      <c r="E52" s="9">
        <v>0.64746999999999999</v>
      </c>
      <c r="F52" s="9">
        <v>0.28349000000000002</v>
      </c>
      <c r="G52" s="9">
        <v>0</v>
      </c>
      <c r="I52" s="5">
        <v>630</v>
      </c>
      <c r="J52" s="9">
        <f t="shared" si="1"/>
        <v>53.926869842000002</v>
      </c>
      <c r="K52" s="9">
        <f t="shared" si="2"/>
        <v>23.611485214000002</v>
      </c>
      <c r="L52" s="9">
        <f t="shared" si="3"/>
        <v>0</v>
      </c>
      <c r="N52" s="5">
        <v>630</v>
      </c>
      <c r="O52" s="5" cm="1">
        <f t="array" aca="1" ref="O52:W52" ca="1">OFFSET('1'!$D$1,MATCH(Calculation!$N52,'1'!$D:$D,0)-1,0,1,COUNTA('1'!D52:ZY52))</f>
        <v>630</v>
      </c>
      <c r="P52" s="9">
        <f ca="1"/>
        <v>0.26487776639999999</v>
      </c>
      <c r="Q52" s="9">
        <f ca="1"/>
        <v>9.6938870849999997E-2</v>
      </c>
      <c r="R52" s="9">
        <f ca="1"/>
        <v>0.19715857510000001</v>
      </c>
      <c r="S52">
        <f ca="1"/>
        <v>0.33948892349999998</v>
      </c>
      <c r="T52">
        <f ca="1"/>
        <v>0.19324780999999999</v>
      </c>
      <c r="U52">
        <f ca="1"/>
        <v>0.15258960429999999</v>
      </c>
      <c r="V52">
        <f ca="1"/>
        <v>5.042290688E-2</v>
      </c>
      <c r="W52">
        <f ca="1"/>
        <v>5.5451679970000001E-2</v>
      </c>
    </row>
    <row r="53" spans="1:23">
      <c r="A53" s="5">
        <v>635</v>
      </c>
      <c r="B53" s="9">
        <v>83.493899999999996</v>
      </c>
      <c r="D53" s="5">
        <v>635</v>
      </c>
      <c r="E53" s="9">
        <v>0.53510999999999997</v>
      </c>
      <c r="F53" s="9">
        <v>0.22825000000000001</v>
      </c>
      <c r="G53" s="9">
        <v>0</v>
      </c>
      <c r="I53" s="5">
        <v>635</v>
      </c>
      <c r="J53" s="9">
        <f t="shared" si="1"/>
        <v>44.678420828999997</v>
      </c>
      <c r="K53" s="9">
        <f t="shared" si="2"/>
        <v>19.057482674999999</v>
      </c>
      <c r="L53" s="9">
        <f t="shared" si="3"/>
        <v>0</v>
      </c>
      <c r="N53" s="5">
        <v>635</v>
      </c>
      <c r="O53" s="5" cm="1">
        <f t="array" aca="1" ref="O53:W53" ca="1">OFFSET('1'!$D$1,MATCH(Calculation!$N53,'1'!$D:$D,0)-1,0,1,COUNTA('1'!D53:ZY53))</f>
        <v>635</v>
      </c>
      <c r="P53" s="9">
        <f ca="1"/>
        <v>0.26396599409999999</v>
      </c>
      <c r="Q53" s="9">
        <f ca="1"/>
        <v>9.5248624680000005E-2</v>
      </c>
      <c r="R53" s="9">
        <f ca="1"/>
        <v>0.19511184100000001</v>
      </c>
      <c r="S53">
        <f ca="1"/>
        <v>0.34286510939999998</v>
      </c>
      <c r="T53">
        <f ca="1"/>
        <v>0.19204142690000001</v>
      </c>
      <c r="U53">
        <f ca="1"/>
        <v>0.1501837969</v>
      </c>
      <c r="V53">
        <f ca="1"/>
        <v>4.9210779369999999E-2</v>
      </c>
      <c r="W53">
        <f ca="1"/>
        <v>5.4550770669999998E-2</v>
      </c>
    </row>
    <row r="54" spans="1:23">
      <c r="A54" s="5">
        <v>640</v>
      </c>
      <c r="B54" s="9">
        <v>83.699200000000005</v>
      </c>
      <c r="D54" s="5">
        <v>640</v>
      </c>
      <c r="E54" s="9">
        <v>0.43157000000000001</v>
      </c>
      <c r="F54" s="9">
        <v>0.17982999999999999</v>
      </c>
      <c r="G54" s="9">
        <v>0</v>
      </c>
      <c r="I54" s="5">
        <v>640</v>
      </c>
      <c r="J54" s="9">
        <f t="shared" si="1"/>
        <v>36.122063744000002</v>
      </c>
      <c r="K54" s="9">
        <f t="shared" si="2"/>
        <v>15.051627136</v>
      </c>
      <c r="L54" s="9">
        <f t="shared" si="3"/>
        <v>0</v>
      </c>
      <c r="N54" s="5">
        <v>640</v>
      </c>
      <c r="O54" s="5" cm="1">
        <f t="array" aca="1" ref="O54:W54" ca="1">OFFSET('1'!$D$1,MATCH(Calculation!$N54,'1'!$D:$D,0)-1,0,1,COUNTA('1'!D54:ZY54))</f>
        <v>640</v>
      </c>
      <c r="P54" s="9">
        <f ca="1"/>
        <v>0.2601919472</v>
      </c>
      <c r="Q54" s="9">
        <f ca="1"/>
        <v>9.3274019659999999E-2</v>
      </c>
      <c r="R54" s="9">
        <f ca="1"/>
        <v>0.19133648280000001</v>
      </c>
      <c r="S54">
        <f ca="1"/>
        <v>0.34533852339999999</v>
      </c>
      <c r="T54">
        <f ca="1"/>
        <v>0.1904598773</v>
      </c>
      <c r="U54">
        <f ca="1"/>
        <v>0.1479071528</v>
      </c>
      <c r="V54">
        <f ca="1"/>
        <v>4.8676874490000001E-2</v>
      </c>
      <c r="W54">
        <f ca="1"/>
        <v>5.3602673109999999E-2</v>
      </c>
    </row>
    <row r="55" spans="1:23">
      <c r="A55" s="5">
        <v>645</v>
      </c>
      <c r="B55" s="9">
        <v>81.863</v>
      </c>
      <c r="D55" s="5">
        <v>645</v>
      </c>
      <c r="E55" s="9">
        <v>0.34369</v>
      </c>
      <c r="F55" s="9">
        <v>0.14021</v>
      </c>
      <c r="G55" s="9">
        <v>0</v>
      </c>
      <c r="I55" s="5">
        <v>645</v>
      </c>
      <c r="J55" s="9">
        <f t="shared" si="1"/>
        <v>28.135494470000001</v>
      </c>
      <c r="K55" s="9">
        <f t="shared" si="2"/>
        <v>11.47801123</v>
      </c>
      <c r="L55" s="9">
        <f t="shared" si="3"/>
        <v>0</v>
      </c>
      <c r="N55" s="5">
        <v>645</v>
      </c>
      <c r="O55" s="5" cm="1">
        <f t="array" aca="1" ref="O55:W55" ca="1">OFFSET('1'!$D$1,MATCH(Calculation!$N55,'1'!$D:$D,0)-1,0,1,COUNTA('1'!D55:ZY55))</f>
        <v>645</v>
      </c>
      <c r="P55" s="9">
        <f ca="1"/>
        <v>0.25251784919999998</v>
      </c>
      <c r="Q55" s="9">
        <f ca="1"/>
        <v>9.0158820149999999E-2</v>
      </c>
      <c r="R55" s="9">
        <f ca="1"/>
        <v>0.1863385588</v>
      </c>
      <c r="S55">
        <f ca="1"/>
        <v>0.34507590529999999</v>
      </c>
      <c r="T55">
        <f ca="1"/>
        <v>0.18684941529999999</v>
      </c>
      <c r="U55">
        <f ca="1"/>
        <v>0.14452148970000001</v>
      </c>
      <c r="V55">
        <f ca="1"/>
        <v>4.7307152300000002E-2</v>
      </c>
      <c r="W55">
        <f ca="1"/>
        <v>5.2722714839999997E-2</v>
      </c>
    </row>
    <row r="56" spans="1:23">
      <c r="A56" s="5">
        <v>650</v>
      </c>
      <c r="B56" s="9">
        <v>80.026799999999994</v>
      </c>
      <c r="D56" s="5">
        <v>650</v>
      </c>
      <c r="E56" s="9">
        <v>0.26833000000000001</v>
      </c>
      <c r="F56" s="9">
        <v>0.10763</v>
      </c>
      <c r="G56" s="9">
        <v>0</v>
      </c>
      <c r="I56" s="5">
        <v>650</v>
      </c>
      <c r="J56" s="9">
        <f t="shared" si="1"/>
        <v>21.473591243999998</v>
      </c>
      <c r="K56" s="9">
        <f t="shared" si="2"/>
        <v>8.6132844839999994</v>
      </c>
      <c r="L56" s="9">
        <f t="shared" si="3"/>
        <v>0</v>
      </c>
      <c r="N56" s="5">
        <v>650</v>
      </c>
      <c r="O56" s="5" cm="1">
        <f t="array" aca="1" ref="O56:W56" ca="1">OFFSET('1'!$D$1,MATCH(Calculation!$N56,'1'!$D:$D,0)-1,0,1,COUNTA('1'!D56:ZY56))</f>
        <v>650</v>
      </c>
      <c r="P56" s="9">
        <f ca="1"/>
        <v>0.24337455629999999</v>
      </c>
      <c r="Q56" s="9">
        <f ca="1"/>
        <v>8.7228588760000003E-2</v>
      </c>
      <c r="R56" s="9">
        <f ca="1"/>
        <v>0.18164104219999999</v>
      </c>
      <c r="S56">
        <f ca="1"/>
        <v>0.3430522084</v>
      </c>
      <c r="T56">
        <f ca="1"/>
        <v>0.18260428309999999</v>
      </c>
      <c r="U56">
        <f ca="1"/>
        <v>0.14104814830000001</v>
      </c>
      <c r="V56">
        <f ca="1"/>
        <v>4.6374052759999999E-2</v>
      </c>
      <c r="W56">
        <f ca="1"/>
        <v>5.1854278890000001E-2</v>
      </c>
    </row>
    <row r="57" spans="1:23">
      <c r="A57" s="5">
        <v>655</v>
      </c>
      <c r="B57" s="9">
        <v>80.120699999999999</v>
      </c>
      <c r="D57" s="5">
        <v>655</v>
      </c>
      <c r="E57" s="9">
        <v>0.20430000000000001</v>
      </c>
      <c r="F57" s="9">
        <v>8.1189999999999998E-2</v>
      </c>
      <c r="G57" s="9">
        <v>0</v>
      </c>
      <c r="I57" s="5">
        <v>655</v>
      </c>
      <c r="J57" s="9">
        <f t="shared" si="1"/>
        <v>16.368659010000002</v>
      </c>
      <c r="K57" s="9">
        <f t="shared" si="2"/>
        <v>6.5049996329999997</v>
      </c>
      <c r="L57" s="9">
        <f t="shared" si="3"/>
        <v>0</v>
      </c>
      <c r="N57" s="5">
        <v>655</v>
      </c>
      <c r="O57" s="5" cm="1">
        <f t="array" aca="1" ref="O57:W57" ca="1">OFFSET('1'!$D$1,MATCH(Calculation!$N57,'1'!$D:$D,0)-1,0,1,COUNTA('1'!D57:ZY57))</f>
        <v>655</v>
      </c>
      <c r="P57" s="9">
        <f ca="1"/>
        <v>0.2332476228</v>
      </c>
      <c r="Q57" s="9">
        <f ca="1"/>
        <v>8.4448330099999996E-2</v>
      </c>
      <c r="R57" s="9">
        <f ca="1"/>
        <v>0.17545239630000001</v>
      </c>
      <c r="S57">
        <f ca="1"/>
        <v>0.33835867050000001</v>
      </c>
      <c r="T57">
        <f ca="1"/>
        <v>0.177037999</v>
      </c>
      <c r="U57">
        <f ca="1"/>
        <v>0.13721773030000001</v>
      </c>
      <c r="V57">
        <f ca="1"/>
        <v>4.4984746720000003E-2</v>
      </c>
      <c r="W57">
        <f ca="1"/>
        <v>5.0481665879999998E-2</v>
      </c>
    </row>
    <row r="58" spans="1:23">
      <c r="A58" s="5">
        <v>660</v>
      </c>
      <c r="B58" s="9">
        <v>80.214600000000004</v>
      </c>
      <c r="D58" s="5">
        <v>660</v>
      </c>
      <c r="E58" s="9">
        <v>0.15257000000000001</v>
      </c>
      <c r="F58" s="9">
        <v>6.028E-2</v>
      </c>
      <c r="G58" s="9">
        <v>0</v>
      </c>
      <c r="I58" s="5">
        <v>660</v>
      </c>
      <c r="J58" s="9">
        <f t="shared" si="1"/>
        <v>12.238341522000001</v>
      </c>
      <c r="K58" s="9">
        <f t="shared" si="2"/>
        <v>4.835336088</v>
      </c>
      <c r="L58" s="9">
        <f t="shared" si="3"/>
        <v>0</v>
      </c>
      <c r="N58" s="5">
        <v>660</v>
      </c>
      <c r="O58" s="5" cm="1">
        <f t="array" aca="1" ref="O58:W58" ca="1">OFFSET('1'!$D$1,MATCH(Calculation!$N58,'1'!$D:$D,0)-1,0,1,COUNTA('1'!D58:ZY58))</f>
        <v>660</v>
      </c>
      <c r="P58" s="9">
        <f ca="1"/>
        <v>0.2215320915</v>
      </c>
      <c r="Q58" s="9">
        <f ca="1"/>
        <v>8.1128366290000004E-2</v>
      </c>
      <c r="R58" s="9">
        <f ca="1"/>
        <v>0.17199191450000001</v>
      </c>
      <c r="S58">
        <f ca="1"/>
        <v>0.33128342030000002</v>
      </c>
      <c r="T58">
        <f ca="1"/>
        <v>0.1707242578</v>
      </c>
      <c r="U58">
        <f ca="1"/>
        <v>0.1328087151</v>
      </c>
      <c r="V58">
        <f ca="1"/>
        <v>4.4043067839999998E-2</v>
      </c>
      <c r="W58">
        <f ca="1"/>
        <v>4.978615418E-2</v>
      </c>
    </row>
    <row r="59" spans="1:23">
      <c r="A59" s="5">
        <v>665</v>
      </c>
      <c r="B59" s="9">
        <v>81.246200000000002</v>
      </c>
      <c r="D59" s="5">
        <v>665</v>
      </c>
      <c r="E59" s="9">
        <v>0.11221</v>
      </c>
      <c r="F59" s="9">
        <v>4.41E-2</v>
      </c>
      <c r="G59" s="9">
        <v>0</v>
      </c>
      <c r="I59" s="5">
        <v>665</v>
      </c>
      <c r="J59" s="9">
        <f t="shared" si="1"/>
        <v>9.1166361020000011</v>
      </c>
      <c r="K59" s="9">
        <f t="shared" si="2"/>
        <v>3.5829574200000001</v>
      </c>
      <c r="L59" s="9">
        <f t="shared" si="3"/>
        <v>0</v>
      </c>
      <c r="N59" s="5">
        <v>665</v>
      </c>
      <c r="O59" s="5" cm="1">
        <f t="array" aca="1" ref="O59:W59" ca="1">OFFSET('1'!$D$1,MATCH(Calculation!$N59,'1'!$D:$D,0)-1,0,1,COUNTA('1'!D59:ZY59))</f>
        <v>665</v>
      </c>
      <c r="P59" s="9">
        <f ca="1"/>
        <v>0.20958992839999999</v>
      </c>
      <c r="Q59" s="9">
        <f ca="1"/>
        <v>7.8780226410000001E-2</v>
      </c>
      <c r="R59" s="9">
        <f ca="1"/>
        <v>0.16569371520000001</v>
      </c>
      <c r="S59">
        <f ca="1"/>
        <v>0.322520107</v>
      </c>
      <c r="T59">
        <f ca="1"/>
        <v>0.16392621399999999</v>
      </c>
      <c r="U59">
        <f ca="1"/>
        <v>0.1283004284</v>
      </c>
      <c r="V59">
        <f ca="1"/>
        <v>4.3101914230000003E-2</v>
      </c>
      <c r="W59">
        <f ca="1"/>
        <v>4.8702646049999999E-2</v>
      </c>
    </row>
    <row r="60" spans="1:23">
      <c r="A60" s="5">
        <v>670</v>
      </c>
      <c r="B60" s="9">
        <v>82.277799999999999</v>
      </c>
      <c r="D60" s="5">
        <v>670</v>
      </c>
      <c r="E60" s="9">
        <v>8.1259999999999999E-2</v>
      </c>
      <c r="F60" s="9">
        <v>3.1800000000000002E-2</v>
      </c>
      <c r="G60" s="9">
        <v>0</v>
      </c>
      <c r="I60" s="5">
        <v>670</v>
      </c>
      <c r="J60" s="9">
        <f t="shared" si="1"/>
        <v>6.6858940279999999</v>
      </c>
      <c r="K60" s="9">
        <f t="shared" si="2"/>
        <v>2.6164340400000001</v>
      </c>
      <c r="L60" s="9">
        <f t="shared" si="3"/>
        <v>0</v>
      </c>
      <c r="N60" s="5">
        <v>670</v>
      </c>
      <c r="O60" s="5" cm="1">
        <f t="array" aca="1" ref="O60:W60" ca="1">OFFSET('1'!$D$1,MATCH(Calculation!$N60,'1'!$D:$D,0)-1,0,1,COUNTA('1'!D60:ZY60))</f>
        <v>670</v>
      </c>
      <c r="P60" s="9">
        <f ca="1"/>
        <v>0.19733567539999999</v>
      </c>
      <c r="Q60" s="9">
        <f ca="1"/>
        <v>7.6357066629999998E-2</v>
      </c>
      <c r="R60" s="9">
        <f ca="1"/>
        <v>0.16255228220000001</v>
      </c>
      <c r="S60">
        <f ca="1"/>
        <v>0.3097556233</v>
      </c>
      <c r="T60">
        <f ca="1"/>
        <v>0.15643453600000001</v>
      </c>
      <c r="U60">
        <f ca="1"/>
        <v>0.1236421987</v>
      </c>
      <c r="V60">
        <f ca="1"/>
        <v>4.2069554330000002E-2</v>
      </c>
      <c r="W60">
        <f ca="1"/>
        <v>4.8438891769999999E-2</v>
      </c>
    </row>
    <row r="61" spans="1:23">
      <c r="A61" s="5">
        <v>675</v>
      </c>
      <c r="B61" s="9">
        <v>80.281000000000006</v>
      </c>
      <c r="D61" s="5">
        <v>675</v>
      </c>
      <c r="E61" s="9">
        <v>5.7930000000000002E-2</v>
      </c>
      <c r="F61" s="9">
        <v>2.2599999999999999E-2</v>
      </c>
      <c r="G61" s="9">
        <v>0</v>
      </c>
      <c r="I61" s="5">
        <v>675</v>
      </c>
      <c r="J61" s="9">
        <f t="shared" si="1"/>
        <v>4.6506783300000007</v>
      </c>
      <c r="K61" s="9">
        <f t="shared" si="2"/>
        <v>1.8143506</v>
      </c>
      <c r="L61" s="9">
        <f t="shared" si="3"/>
        <v>0</v>
      </c>
      <c r="N61" s="5">
        <v>675</v>
      </c>
      <c r="O61" s="5" cm="1">
        <f t="array" aca="1" ref="O61:W61" ca="1">OFFSET('1'!$D$1,MATCH(Calculation!$N61,'1'!$D:$D,0)-1,0,1,COUNTA('1'!D61:ZY61))</f>
        <v>675</v>
      </c>
      <c r="P61" s="9">
        <f ca="1"/>
        <v>0.18430654699999999</v>
      </c>
      <c r="Q61" s="9">
        <f ca="1"/>
        <v>7.3863871400000003E-2</v>
      </c>
      <c r="R61" s="9">
        <f ca="1"/>
        <v>0.1576454639</v>
      </c>
      <c r="S61">
        <f ca="1"/>
        <v>0.29312789439999998</v>
      </c>
      <c r="T61">
        <f ca="1"/>
        <v>0.1475059688</v>
      </c>
      <c r="U61">
        <f ca="1"/>
        <v>0.11888875810000001</v>
      </c>
      <c r="V61">
        <f ca="1"/>
        <v>4.1053872560000003E-2</v>
      </c>
      <c r="W61">
        <f ca="1"/>
        <v>4.6997137369999997E-2</v>
      </c>
    </row>
    <row r="62" spans="1:23">
      <c r="A62" s="5">
        <v>680</v>
      </c>
      <c r="B62" s="9">
        <v>78.284199999999998</v>
      </c>
      <c r="D62" s="5">
        <v>680</v>
      </c>
      <c r="E62" s="9">
        <v>4.0849999999999997E-2</v>
      </c>
      <c r="F62" s="9">
        <v>1.5910000000000001E-2</v>
      </c>
      <c r="G62" s="9">
        <v>0</v>
      </c>
      <c r="I62" s="5">
        <v>680</v>
      </c>
      <c r="J62" s="9">
        <f t="shared" si="1"/>
        <v>3.1979095699999998</v>
      </c>
      <c r="K62" s="9">
        <f t="shared" si="2"/>
        <v>1.2455016219999999</v>
      </c>
      <c r="L62" s="9">
        <f t="shared" si="3"/>
        <v>0</v>
      </c>
      <c r="N62" s="5">
        <v>680</v>
      </c>
      <c r="O62" s="5" cm="1">
        <f t="array" aca="1" ref="O62:W62" ca="1">OFFSET('1'!$D$1,MATCH(Calculation!$N62,'1'!$D:$D,0)-1,0,1,COUNTA('1'!D62:ZY62))</f>
        <v>680</v>
      </c>
      <c r="P62" s="9">
        <f ca="1"/>
        <v>0.17140276730000001</v>
      </c>
      <c r="Q62" s="9">
        <f ca="1"/>
        <v>7.1526713670000006E-2</v>
      </c>
      <c r="R62" s="9">
        <f ca="1"/>
        <v>0.15412832800000001</v>
      </c>
      <c r="S62">
        <f ca="1"/>
        <v>0.27135434749999998</v>
      </c>
      <c r="T62">
        <f ca="1"/>
        <v>0.13904982809999999</v>
      </c>
      <c r="U62">
        <f ca="1"/>
        <v>0.1140926853</v>
      </c>
      <c r="V62">
        <f ca="1"/>
        <v>3.995798901E-2</v>
      </c>
      <c r="W62">
        <f ca="1"/>
        <v>4.6634338800000001E-2</v>
      </c>
    </row>
    <row r="63" spans="1:23">
      <c r="A63" s="5">
        <v>685</v>
      </c>
      <c r="B63" s="9">
        <v>74.002700000000004</v>
      </c>
      <c r="D63" s="5">
        <v>685</v>
      </c>
      <c r="E63" s="9">
        <v>2.862E-2</v>
      </c>
      <c r="F63" s="9">
        <v>1.1129999999999999E-2</v>
      </c>
      <c r="G63" s="9">
        <v>0</v>
      </c>
      <c r="I63" s="5">
        <v>685</v>
      </c>
      <c r="J63" s="9">
        <f t="shared" si="1"/>
        <v>2.1179572740000001</v>
      </c>
      <c r="K63" s="9">
        <f t="shared" si="2"/>
        <v>0.82365005099999999</v>
      </c>
      <c r="L63" s="9">
        <f t="shared" si="3"/>
        <v>0</v>
      </c>
      <c r="N63" s="5">
        <v>685</v>
      </c>
      <c r="O63" s="5" cm="1">
        <f t="array" aca="1" ref="O63:W63" ca="1">OFFSET('1'!$D$1,MATCH(Calculation!$N63,'1'!$D:$D,0)-1,0,1,COUNTA('1'!D63:ZY63))</f>
        <v>685</v>
      </c>
      <c r="P63" s="9">
        <f ca="1"/>
        <v>0.15950468179999999</v>
      </c>
      <c r="Q63" s="9">
        <f ca="1"/>
        <v>6.9440960879999999E-2</v>
      </c>
      <c r="R63" s="9">
        <f ca="1"/>
        <v>0.1491760761</v>
      </c>
      <c r="S63">
        <f ca="1"/>
        <v>0.24722313879999999</v>
      </c>
      <c r="T63">
        <f ca="1"/>
        <v>0.12993463869999999</v>
      </c>
      <c r="U63">
        <f ca="1"/>
        <v>0.1096316203</v>
      </c>
      <c r="V63">
        <f ca="1"/>
        <v>3.905256838E-2</v>
      </c>
      <c r="W63">
        <f ca="1"/>
        <v>4.5880362389999998E-2</v>
      </c>
    </row>
    <row r="64" spans="1:23">
      <c r="A64" s="5">
        <v>690</v>
      </c>
      <c r="B64" s="9">
        <v>69.721299999999999</v>
      </c>
      <c r="D64" s="5">
        <v>690</v>
      </c>
      <c r="E64" s="9">
        <v>1.9939999999999999E-2</v>
      </c>
      <c r="F64" s="9">
        <v>7.7499999999999999E-3</v>
      </c>
      <c r="G64" s="9">
        <v>0</v>
      </c>
      <c r="I64" s="5">
        <v>690</v>
      </c>
      <c r="J64" s="9">
        <f t="shared" si="1"/>
        <v>1.390242722</v>
      </c>
      <c r="K64" s="9">
        <f t="shared" si="2"/>
        <v>0.54034007500000003</v>
      </c>
      <c r="L64" s="9">
        <f t="shared" si="3"/>
        <v>0</v>
      </c>
      <c r="N64" s="5">
        <v>690</v>
      </c>
      <c r="O64" s="5" cm="1">
        <f t="array" aca="1" ref="O64:W64" ca="1">OFFSET('1'!$D$1,MATCH(Calculation!$N64,'1'!$D:$D,0)-1,0,1,COUNTA('1'!D64:ZY64))</f>
        <v>690</v>
      </c>
      <c r="P64" s="9">
        <f ca="1"/>
        <v>0.14898747209999999</v>
      </c>
      <c r="Q64" s="9">
        <f ca="1"/>
        <v>6.7115336659999997E-2</v>
      </c>
      <c r="R64" s="9">
        <f ca="1"/>
        <v>0.14577388760000001</v>
      </c>
      <c r="S64">
        <f ca="1"/>
        <v>0.22194334860000001</v>
      </c>
      <c r="T64">
        <f ca="1"/>
        <v>0.1211158261</v>
      </c>
      <c r="U64">
        <f ca="1"/>
        <v>0.1051918343</v>
      </c>
      <c r="V64">
        <f ca="1"/>
        <v>3.842471167E-2</v>
      </c>
      <c r="W64">
        <f ca="1"/>
        <v>4.5368351039999998E-2</v>
      </c>
    </row>
    <row r="65" spans="1:23">
      <c r="A65" s="5">
        <v>695</v>
      </c>
      <c r="B65" s="9">
        <v>70.665199999999999</v>
      </c>
      <c r="D65" s="5">
        <v>695</v>
      </c>
      <c r="E65" s="9">
        <v>1.384E-2</v>
      </c>
      <c r="F65" s="9">
        <v>5.3800000000000002E-3</v>
      </c>
      <c r="G65" s="9">
        <v>0</v>
      </c>
      <c r="I65" s="5">
        <v>695</v>
      </c>
      <c r="J65" s="9">
        <f t="shared" si="1"/>
        <v>0.97800636799999996</v>
      </c>
      <c r="K65" s="9">
        <f t="shared" si="2"/>
        <v>0.380178776</v>
      </c>
      <c r="L65" s="9">
        <f t="shared" si="3"/>
        <v>0</v>
      </c>
      <c r="N65" s="5">
        <v>695</v>
      </c>
      <c r="O65" s="5" cm="1">
        <f t="array" aca="1" ref="O65:W65" ca="1">OFFSET('1'!$D$1,MATCH(Calculation!$N65,'1'!$D:$D,0)-1,0,1,COUNTA('1'!D65:ZY65))</f>
        <v>695</v>
      </c>
      <c r="P65" s="9">
        <f ca="1"/>
        <v>0.13856117430000001</v>
      </c>
      <c r="Q65" s="9">
        <f ca="1"/>
        <v>6.4568452540000001E-2</v>
      </c>
      <c r="R65" s="9">
        <f ca="1"/>
        <v>0.1420758218</v>
      </c>
      <c r="S65">
        <f ca="1"/>
        <v>0.19756574930000001</v>
      </c>
      <c r="T65">
        <f ca="1"/>
        <v>0.1121965647</v>
      </c>
      <c r="U65">
        <f ca="1"/>
        <v>0.1010748371</v>
      </c>
      <c r="V65">
        <f ca="1"/>
        <v>3.74103114E-2</v>
      </c>
      <c r="W65">
        <f ca="1"/>
        <v>4.4707342980000002E-2</v>
      </c>
    </row>
    <row r="66" spans="1:23">
      <c r="A66" s="5">
        <v>700</v>
      </c>
      <c r="B66" s="9">
        <v>71.609099999999998</v>
      </c>
      <c r="D66" s="5">
        <v>700</v>
      </c>
      <c r="E66" s="9">
        <v>9.58E-3</v>
      </c>
      <c r="F66" s="9">
        <v>3.7200000000000002E-3</v>
      </c>
      <c r="G66" s="9">
        <v>0</v>
      </c>
      <c r="I66" s="5">
        <v>700</v>
      </c>
      <c r="J66" s="9">
        <f t="shared" si="1"/>
        <v>0.686015178</v>
      </c>
      <c r="K66" s="9">
        <f t="shared" si="2"/>
        <v>0.26638585200000003</v>
      </c>
      <c r="L66" s="9">
        <f t="shared" si="3"/>
        <v>0</v>
      </c>
      <c r="N66" s="5">
        <v>700</v>
      </c>
      <c r="O66" s="5" cm="1">
        <f t="array" aca="1" ref="O66:W66" ca="1">OFFSET('1'!$D$1,MATCH(Calculation!$N66,'1'!$D:$D,0)-1,0,1,COUNTA('1'!D66:ZY66))</f>
        <v>700</v>
      </c>
      <c r="P66" s="9">
        <f ca="1"/>
        <v>0.1291002631</v>
      </c>
      <c r="Q66" s="9">
        <f ca="1"/>
        <v>6.1702344569999998E-2</v>
      </c>
      <c r="R66" s="9">
        <f ca="1"/>
        <v>0.13843724130000001</v>
      </c>
      <c r="S66">
        <f ca="1"/>
        <v>0.17595955730000001</v>
      </c>
      <c r="T66">
        <f ca="1"/>
        <v>0.10381201650000001</v>
      </c>
      <c r="U66">
        <f ca="1"/>
        <v>9.6960715949999998E-2</v>
      </c>
      <c r="V66">
        <f ca="1"/>
        <v>3.6724954839999997E-2</v>
      </c>
      <c r="W66">
        <f ca="1"/>
        <v>4.395795986E-2</v>
      </c>
    </row>
    <row r="67" spans="1:23">
      <c r="A67" s="5">
        <v>705</v>
      </c>
      <c r="B67" s="9">
        <v>72.978999999999999</v>
      </c>
      <c r="D67" s="5">
        <v>705</v>
      </c>
      <c r="E67" s="9">
        <v>6.6100000000000004E-3</v>
      </c>
      <c r="F67" s="9">
        <v>2.5699999999999998E-3</v>
      </c>
      <c r="G67" s="9">
        <v>0</v>
      </c>
      <c r="I67" s="5">
        <v>705</v>
      </c>
      <c r="J67" s="9">
        <f t="shared" ref="J67:J82" si="4">E67*$B67</f>
        <v>0.48239119000000003</v>
      </c>
      <c r="K67" s="9">
        <f t="shared" ref="K67:K82" si="5">F67*$B67</f>
        <v>0.18755602999999998</v>
      </c>
      <c r="L67" s="9">
        <f t="shared" ref="L67:L82" si="6">G67*$B67</f>
        <v>0</v>
      </c>
      <c r="N67" s="5">
        <v>705</v>
      </c>
      <c r="O67" s="5" cm="1">
        <f t="array" aca="1" ref="O67:W67" ca="1">OFFSET('1'!$D$1,MATCH(Calculation!$N67,'1'!$D:$D,0)-1,0,1,COUNTA('1'!D67:ZY67))</f>
        <v>705</v>
      </c>
      <c r="P67" s="9">
        <f ca="1"/>
        <v>0.1198363975</v>
      </c>
      <c r="Q67" s="9">
        <f ca="1"/>
        <v>5.9183623640000002E-2</v>
      </c>
      <c r="R67" s="9">
        <f ca="1"/>
        <v>0.13333311680000001</v>
      </c>
      <c r="S67">
        <f ca="1"/>
        <v>0.1570230275</v>
      </c>
      <c r="T67">
        <f ca="1"/>
        <v>9.6668295560000006E-2</v>
      </c>
      <c r="U67">
        <f ca="1"/>
        <v>9.3468807639999998E-2</v>
      </c>
      <c r="V67">
        <f ca="1"/>
        <v>3.5987239329999997E-2</v>
      </c>
      <c r="W67">
        <f ca="1"/>
        <v>4.3409988279999999E-2</v>
      </c>
    </row>
    <row r="68" spans="1:23">
      <c r="A68" s="5">
        <v>710</v>
      </c>
      <c r="B68" s="9">
        <v>74.349000000000004</v>
      </c>
      <c r="D68" s="5">
        <v>710</v>
      </c>
      <c r="E68" s="9">
        <v>4.5500000000000002E-3</v>
      </c>
      <c r="F68" s="9">
        <v>1.7700000000000001E-3</v>
      </c>
      <c r="G68" s="9">
        <v>0</v>
      </c>
      <c r="I68" s="5">
        <v>710</v>
      </c>
      <c r="J68" s="9">
        <f t="shared" si="4"/>
        <v>0.33828795000000006</v>
      </c>
      <c r="K68" s="9">
        <f t="shared" si="5"/>
        <v>0.13159773000000002</v>
      </c>
      <c r="L68" s="9">
        <f t="shared" si="6"/>
        <v>0</v>
      </c>
      <c r="N68" s="5">
        <v>710</v>
      </c>
      <c r="O68" s="5" cm="1">
        <f t="array" aca="1" ref="O68:W68" ca="1">OFFSET('1'!$D$1,MATCH(Calculation!$N68,'1'!$D:$D,0)-1,0,1,COUNTA('1'!D68:ZY68))</f>
        <v>710</v>
      </c>
      <c r="P68" s="9">
        <f ca="1"/>
        <v>0.1102750897</v>
      </c>
      <c r="Q68" s="9">
        <f ca="1"/>
        <v>5.6142542509999997E-2</v>
      </c>
      <c r="R68" s="9">
        <f ca="1"/>
        <v>0.12900088730000001</v>
      </c>
      <c r="S68">
        <f ca="1"/>
        <v>0.14026284219999999</v>
      </c>
      <c r="T68">
        <f ca="1"/>
        <v>8.9622624220000002E-2</v>
      </c>
      <c r="U68">
        <f ca="1"/>
        <v>9.0163819490000005E-2</v>
      </c>
      <c r="V68">
        <f ca="1"/>
        <v>3.5507399590000002E-2</v>
      </c>
      <c r="W68">
        <f ca="1"/>
        <v>4.2719189079999997E-2</v>
      </c>
    </row>
    <row r="69" spans="1:23">
      <c r="A69" s="5">
        <v>715</v>
      </c>
      <c r="B69" s="9">
        <v>67.976500000000001</v>
      </c>
      <c r="D69" s="5">
        <v>715</v>
      </c>
      <c r="E69" s="9">
        <v>3.15E-3</v>
      </c>
      <c r="F69" s="9">
        <v>1.2199999999999999E-3</v>
      </c>
      <c r="G69" s="9">
        <v>0</v>
      </c>
      <c r="I69" s="5">
        <v>715</v>
      </c>
      <c r="J69" s="9">
        <f t="shared" si="4"/>
        <v>0.214125975</v>
      </c>
      <c r="K69" s="9">
        <f t="shared" si="5"/>
        <v>8.2931329999999998E-2</v>
      </c>
      <c r="L69" s="9">
        <f t="shared" si="6"/>
        <v>0</v>
      </c>
      <c r="N69" s="5">
        <v>715</v>
      </c>
      <c r="O69" s="5" cm="1">
        <f t="array" aca="1" ref="O69:W69" ca="1">OFFSET('1'!$D$1,MATCH(Calculation!$N69,'1'!$D:$D,0)-1,0,1,COUNTA('1'!D69:ZY69))</f>
        <v>715</v>
      </c>
      <c r="P69" s="9">
        <f ca="1"/>
        <v>0.1005213484</v>
      </c>
      <c r="Q69" s="9">
        <f ca="1"/>
        <v>5.3238414230000003E-2</v>
      </c>
      <c r="R69" s="9">
        <f ca="1"/>
        <v>0.1242842451</v>
      </c>
      <c r="S69">
        <f ca="1"/>
        <v>0.12544864419999999</v>
      </c>
      <c r="T69">
        <f ca="1"/>
        <v>8.3129480480000004E-2</v>
      </c>
      <c r="U69">
        <f ca="1"/>
        <v>8.745189011E-2</v>
      </c>
      <c r="V69">
        <f ca="1"/>
        <v>3.4962434319999999E-2</v>
      </c>
      <c r="W69">
        <f ca="1"/>
        <v>4.2931970210000003E-2</v>
      </c>
    </row>
    <row r="70" spans="1:23">
      <c r="A70" s="5">
        <v>720</v>
      </c>
      <c r="B70" s="9">
        <v>61.603999999999999</v>
      </c>
      <c r="D70" s="5">
        <v>720</v>
      </c>
      <c r="E70" s="9">
        <v>2.1800000000000001E-3</v>
      </c>
      <c r="F70" s="9">
        <v>8.4599999999999996E-4</v>
      </c>
      <c r="G70" s="9">
        <v>0</v>
      </c>
      <c r="I70" s="5">
        <v>720</v>
      </c>
      <c r="J70" s="9">
        <f t="shared" si="4"/>
        <v>0.13429672000000001</v>
      </c>
      <c r="K70" s="9">
        <f t="shared" si="5"/>
        <v>5.2116983999999998E-2</v>
      </c>
      <c r="L70" s="9">
        <f t="shared" si="6"/>
        <v>0</v>
      </c>
      <c r="N70" s="5">
        <v>720</v>
      </c>
      <c r="O70" s="5" cm="1">
        <f t="array" aca="1" ref="O70:W70" ca="1">OFFSET('1'!$D$1,MATCH(Calculation!$N70,'1'!$D:$D,0)-1,0,1,COUNTA('1'!D70:ZY70))</f>
        <v>720</v>
      </c>
      <c r="P70" s="9">
        <f ca="1"/>
        <v>8.9983381330000001E-2</v>
      </c>
      <c r="Q70" s="9">
        <f ca="1"/>
        <v>4.9442283810000001E-2</v>
      </c>
      <c r="R70" s="9">
        <f ca="1"/>
        <v>0.11760418860000001</v>
      </c>
      <c r="S70">
        <f ca="1"/>
        <v>0.11175383630000001</v>
      </c>
      <c r="T70">
        <f ca="1"/>
        <v>7.6782330869999998E-2</v>
      </c>
      <c r="U70">
        <f ca="1"/>
        <v>8.4257110950000005E-2</v>
      </c>
      <c r="V70">
        <f ca="1"/>
        <v>3.4028749910000003E-2</v>
      </c>
      <c r="W70">
        <f ca="1"/>
        <v>4.1729543360000003E-2</v>
      </c>
    </row>
    <row r="71" spans="1:23">
      <c r="A71" s="5">
        <v>725</v>
      </c>
      <c r="B71" s="9">
        <v>65.744799999999998</v>
      </c>
      <c r="D71" s="5">
        <v>725</v>
      </c>
      <c r="E71" s="9">
        <v>1.5100000000000001E-3</v>
      </c>
      <c r="F71" s="9">
        <v>5.8600000000000004E-4</v>
      </c>
      <c r="G71" s="9">
        <v>0</v>
      </c>
      <c r="I71" s="5">
        <v>725</v>
      </c>
      <c r="J71" s="9">
        <f t="shared" si="4"/>
        <v>9.9274648000000007E-2</v>
      </c>
      <c r="K71" s="9">
        <f t="shared" si="5"/>
        <v>3.8526452799999999E-2</v>
      </c>
      <c r="L71" s="9">
        <f t="shared" si="6"/>
        <v>0</v>
      </c>
      <c r="N71" s="5">
        <v>725</v>
      </c>
      <c r="O71" s="5" cm="1">
        <f t="array" aca="1" ref="O71:W71" ca="1">OFFSET('1'!$D$1,MATCH(Calculation!$N71,'1'!$D:$D,0)-1,0,1,COUNTA('1'!D71:ZY71))</f>
        <v>725</v>
      </c>
      <c r="P71" s="9">
        <f ca="1"/>
        <v>7.8867882489999999E-2</v>
      </c>
      <c r="Q71" s="9">
        <f ca="1"/>
        <v>4.5329328629999999E-2</v>
      </c>
      <c r="R71" s="9">
        <f ca="1"/>
        <v>0.1113888621</v>
      </c>
      <c r="S71">
        <f ca="1"/>
        <v>9.8459519450000005E-2</v>
      </c>
      <c r="T71">
        <f ca="1"/>
        <v>7.0975959300000002E-2</v>
      </c>
      <c r="U71">
        <f ca="1"/>
        <v>8.1530757250000002E-2</v>
      </c>
      <c r="V71">
        <f ca="1"/>
        <v>3.3359605819999999E-2</v>
      </c>
      <c r="W71">
        <f ca="1"/>
        <v>4.1625373069999999E-2</v>
      </c>
    </row>
    <row r="72" spans="1:23">
      <c r="A72" s="5">
        <v>730</v>
      </c>
      <c r="B72" s="9">
        <v>69.885599999999997</v>
      </c>
      <c r="D72" s="5">
        <v>730</v>
      </c>
      <c r="E72" s="9">
        <v>1.0499999999999999E-3</v>
      </c>
      <c r="F72" s="9">
        <v>4.0700000000000003E-4</v>
      </c>
      <c r="G72" s="9">
        <v>0</v>
      </c>
      <c r="I72" s="5">
        <v>730</v>
      </c>
      <c r="J72" s="9">
        <f t="shared" si="4"/>
        <v>7.3379879999999995E-2</v>
      </c>
      <c r="K72" s="9">
        <f t="shared" si="5"/>
        <v>2.84434392E-2</v>
      </c>
      <c r="L72" s="9">
        <f t="shared" si="6"/>
        <v>0</v>
      </c>
      <c r="N72" s="5">
        <v>730</v>
      </c>
      <c r="O72" s="5" cm="1">
        <f t="array" aca="1" ref="O72:W72" ca="1">OFFSET('1'!$D$1,MATCH(Calculation!$N72,'1'!$D:$D,0)-1,0,1,COUNTA('1'!D72:ZY72))</f>
        <v>730</v>
      </c>
      <c r="P72" s="9">
        <f ca="1"/>
        <v>6.9281794130000005E-2</v>
      </c>
      <c r="Q72" s="9">
        <f ca="1"/>
        <v>4.1652921590000003E-2</v>
      </c>
      <c r="R72" s="9">
        <f ca="1"/>
        <v>0.1054226607</v>
      </c>
      <c r="S72">
        <f ca="1"/>
        <v>8.6920358239999995E-2</v>
      </c>
      <c r="T72">
        <f ca="1"/>
        <v>6.5885245800000006E-2</v>
      </c>
      <c r="U72">
        <f ca="1"/>
        <v>7.9692855480000005E-2</v>
      </c>
      <c r="V72">
        <f ca="1"/>
        <v>3.334266692E-2</v>
      </c>
      <c r="W72">
        <f ca="1"/>
        <v>4.1706632819999999E-2</v>
      </c>
    </row>
    <row r="73" spans="1:23">
      <c r="A73" s="5">
        <v>735</v>
      </c>
      <c r="B73" s="9">
        <v>72.4863</v>
      </c>
      <c r="D73" s="5">
        <v>735</v>
      </c>
      <c r="E73" s="9">
        <v>7.27E-4</v>
      </c>
      <c r="F73" s="9">
        <v>2.8400000000000002E-4</v>
      </c>
      <c r="G73" s="9">
        <v>0</v>
      </c>
      <c r="I73" s="5">
        <v>735</v>
      </c>
      <c r="J73" s="9">
        <f t="shared" si="4"/>
        <v>5.2697540100000002E-2</v>
      </c>
      <c r="K73" s="9">
        <f t="shared" si="5"/>
        <v>2.0586109200000001E-2</v>
      </c>
      <c r="L73" s="9">
        <f t="shared" si="6"/>
        <v>0</v>
      </c>
      <c r="N73" s="5">
        <v>735</v>
      </c>
      <c r="O73" s="5" cm="1">
        <f t="array" aca="1" ref="O73:W73" ca="1">OFFSET('1'!$D$1,MATCH(Calculation!$N73,'1'!$D:$D,0)-1,0,1,COUNTA('1'!D73:ZY73))</f>
        <v>735</v>
      </c>
      <c r="P73" s="9">
        <f ca="1"/>
        <v>5.9343017640000002E-2</v>
      </c>
      <c r="Q73" s="9">
        <f ca="1"/>
        <v>3.7706129249999998E-2</v>
      </c>
      <c r="R73" s="9">
        <f ca="1"/>
        <v>9.8218247290000005E-2</v>
      </c>
      <c r="S73">
        <f ca="1"/>
        <v>7.6300896699999995E-2</v>
      </c>
      <c r="T73">
        <f ca="1"/>
        <v>6.1351086940000001E-2</v>
      </c>
      <c r="U73">
        <f ca="1"/>
        <v>7.7757604420000001E-2</v>
      </c>
      <c r="V73">
        <f ca="1"/>
        <v>3.2520271839999997E-2</v>
      </c>
      <c r="W73">
        <f ca="1"/>
        <v>4.1205663230000002E-2</v>
      </c>
    </row>
    <row r="74" spans="1:23">
      <c r="A74" s="5">
        <v>740</v>
      </c>
      <c r="B74" s="9">
        <v>75.087000000000003</v>
      </c>
      <c r="D74" s="5">
        <v>740</v>
      </c>
      <c r="E74" s="9">
        <v>5.0799999999999999E-4</v>
      </c>
      <c r="F74" s="9">
        <v>1.9900000000000001E-4</v>
      </c>
      <c r="G74" s="9">
        <v>0</v>
      </c>
      <c r="I74" s="5">
        <v>740</v>
      </c>
      <c r="J74" s="9">
        <f t="shared" si="4"/>
        <v>3.8144195999999998E-2</v>
      </c>
      <c r="K74" s="9">
        <f t="shared" si="5"/>
        <v>1.4942313000000002E-2</v>
      </c>
      <c r="L74" s="9">
        <f t="shared" si="6"/>
        <v>0</v>
      </c>
      <c r="N74" s="5">
        <v>740</v>
      </c>
      <c r="O74" s="5" cm="1">
        <f t="array" aca="1" ref="O74:W74" ca="1">OFFSET('1'!$D$1,MATCH(Calculation!$N74,'1'!$D:$D,0)-1,0,1,COUNTA('1'!D74:ZY74))</f>
        <v>740</v>
      </c>
      <c r="P74" s="9">
        <f ca="1"/>
        <v>4.9893811349999997E-2</v>
      </c>
      <c r="Q74" s="9">
        <f ca="1"/>
        <v>3.3596150579999998E-2</v>
      </c>
      <c r="R74" s="9">
        <f ca="1"/>
        <v>9.1237254439999999E-2</v>
      </c>
      <c r="S74">
        <f ca="1"/>
        <v>6.6404275600000007E-2</v>
      </c>
      <c r="T74">
        <f ca="1"/>
        <v>5.7122223079999999E-2</v>
      </c>
      <c r="U74">
        <f ca="1"/>
        <v>7.5154900550000001E-2</v>
      </c>
      <c r="V74">
        <f ca="1"/>
        <v>3.1955633310000002E-2</v>
      </c>
      <c r="W74">
        <f ca="1"/>
        <v>4.0739700199999999E-2</v>
      </c>
    </row>
    <row r="75" spans="1:23">
      <c r="A75" s="5">
        <v>745</v>
      </c>
      <c r="B75" s="9">
        <v>69.339799999999997</v>
      </c>
      <c r="D75" s="5">
        <v>745</v>
      </c>
      <c r="E75" s="9">
        <v>3.5599999999999998E-4</v>
      </c>
      <c r="F75" s="9">
        <v>1.3999999999999999E-4</v>
      </c>
      <c r="G75" s="9">
        <v>0</v>
      </c>
      <c r="I75" s="5">
        <v>745</v>
      </c>
      <c r="J75" s="9">
        <f t="shared" si="4"/>
        <v>2.4684968799999998E-2</v>
      </c>
      <c r="K75" s="9">
        <f t="shared" si="5"/>
        <v>9.7075719999999994E-3</v>
      </c>
      <c r="L75" s="9">
        <f t="shared" si="6"/>
        <v>0</v>
      </c>
      <c r="N75" s="5">
        <v>745</v>
      </c>
      <c r="O75" s="5" cm="1">
        <f t="array" aca="1" ref="O75:W75" ca="1">OFFSET('1'!$D$1,MATCH(Calculation!$N75,'1'!$D:$D,0)-1,0,1,COUNTA('1'!D75:ZY75))</f>
        <v>745</v>
      </c>
      <c r="P75" s="9">
        <f ca="1"/>
        <v>4.166688398E-2</v>
      </c>
      <c r="Q75" s="9">
        <f ca="1"/>
        <v>2.9618363830000001E-2</v>
      </c>
      <c r="R75" s="9">
        <f ca="1"/>
        <v>8.5375979539999994E-2</v>
      </c>
      <c r="S75">
        <f ca="1"/>
        <v>5.7705845679999999E-2</v>
      </c>
      <c r="T75">
        <f ca="1"/>
        <v>5.3185541179999997E-2</v>
      </c>
      <c r="U75">
        <f ca="1"/>
        <v>7.3847666379999996E-2</v>
      </c>
      <c r="V75">
        <f ca="1"/>
        <v>3.1329594549999999E-2</v>
      </c>
      <c r="W75">
        <f ca="1"/>
        <v>3.9989721030000001E-2</v>
      </c>
    </row>
    <row r="76" spans="1:23">
      <c r="A76" s="5">
        <v>750</v>
      </c>
      <c r="B76" s="9">
        <v>63.592700000000001</v>
      </c>
      <c r="D76" s="5">
        <v>750</v>
      </c>
      <c r="E76" s="9">
        <v>2.5099999999999998E-4</v>
      </c>
      <c r="F76" s="9">
        <v>9.7999999999999997E-5</v>
      </c>
      <c r="G76" s="9">
        <v>0</v>
      </c>
      <c r="I76" s="5">
        <v>750</v>
      </c>
      <c r="J76" s="9">
        <f t="shared" si="4"/>
        <v>1.5961767699999997E-2</v>
      </c>
      <c r="K76" s="9">
        <f t="shared" si="5"/>
        <v>6.2320845999999999E-3</v>
      </c>
      <c r="L76" s="9">
        <f t="shared" si="6"/>
        <v>0</v>
      </c>
      <c r="N76" s="5">
        <v>750</v>
      </c>
      <c r="O76" s="5" cm="1">
        <f t="array" aca="1" ref="O76:W76" ca="1">OFFSET('1'!$D$1,MATCH(Calculation!$N76,'1'!$D:$D,0)-1,0,1,COUNTA('1'!D76:ZY76))</f>
        <v>750</v>
      </c>
      <c r="P76" s="9">
        <f ca="1"/>
        <v>3.3824149519999999E-2</v>
      </c>
      <c r="Q76" s="9">
        <f ca="1"/>
        <v>2.6077322659999999E-2</v>
      </c>
      <c r="R76" s="9">
        <f ca="1"/>
        <v>7.9521596429999994E-2</v>
      </c>
      <c r="S76">
        <f ca="1"/>
        <v>5.0129454580000003E-2</v>
      </c>
      <c r="T76">
        <f ca="1"/>
        <v>4.985298589E-2</v>
      </c>
      <c r="U76">
        <f ca="1"/>
        <v>7.1850262580000004E-2</v>
      </c>
      <c r="V76">
        <f ca="1"/>
        <v>3.0639426779999999E-2</v>
      </c>
      <c r="W76">
        <f ca="1"/>
        <v>3.9246588950000001E-2</v>
      </c>
    </row>
    <row r="77" spans="1:23">
      <c r="A77" s="5">
        <v>755</v>
      </c>
      <c r="B77" s="9">
        <v>55.005400000000002</v>
      </c>
      <c r="D77" s="5">
        <v>755</v>
      </c>
      <c r="E77" s="9">
        <v>1.7799999999999999E-4</v>
      </c>
      <c r="F77" s="9">
        <v>6.9999999999999994E-5</v>
      </c>
      <c r="G77" s="9">
        <v>0</v>
      </c>
      <c r="I77" s="5">
        <v>755</v>
      </c>
      <c r="J77" s="9">
        <f t="shared" si="4"/>
        <v>9.7909612E-3</v>
      </c>
      <c r="K77" s="9">
        <f t="shared" si="5"/>
        <v>3.8503779999999998E-3</v>
      </c>
      <c r="L77" s="9">
        <f t="shared" si="6"/>
        <v>0</v>
      </c>
      <c r="N77" s="5">
        <v>755</v>
      </c>
      <c r="O77" s="5" cm="1">
        <f t="array" aca="1" ref="O77:W77" ca="1">OFFSET('1'!$D$1,MATCH(Calculation!$N77,'1'!$D:$D,0)-1,0,1,COUNTA('1'!D77:ZY77))</f>
        <v>755</v>
      </c>
      <c r="P77" s="9">
        <f ca="1"/>
        <v>2.7979053560000001E-2</v>
      </c>
      <c r="Q77" s="9">
        <f ca="1"/>
        <v>2.3380625990000001E-2</v>
      </c>
      <c r="R77" s="9">
        <f ca="1"/>
        <v>7.4988491830000004E-2</v>
      </c>
      <c r="S77">
        <f ca="1"/>
        <v>4.4597461820000003E-2</v>
      </c>
      <c r="T77">
        <f ca="1"/>
        <v>4.7149952500000002E-2</v>
      </c>
      <c r="U77">
        <f ca="1"/>
        <v>7.0716783399999997E-2</v>
      </c>
      <c r="V77">
        <f ca="1"/>
        <v>3.0269579960000001E-2</v>
      </c>
      <c r="W77">
        <f ca="1"/>
        <v>3.8587525490000003E-2</v>
      </c>
    </row>
    <row r="78" spans="1:23">
      <c r="A78" s="5">
        <v>760</v>
      </c>
      <c r="B78" s="9">
        <v>46.418199999999999</v>
      </c>
      <c r="D78" s="5">
        <v>760</v>
      </c>
      <c r="E78" s="9">
        <v>1.26E-4</v>
      </c>
      <c r="F78" s="9">
        <v>5.0000000000000002E-5</v>
      </c>
      <c r="G78" s="9">
        <v>0</v>
      </c>
      <c r="I78" s="5">
        <v>760</v>
      </c>
      <c r="J78" s="9">
        <f t="shared" si="4"/>
        <v>5.8486931999999995E-3</v>
      </c>
      <c r="K78" s="9">
        <f t="shared" si="5"/>
        <v>2.3209100000000002E-3</v>
      </c>
      <c r="L78" s="9">
        <f t="shared" si="6"/>
        <v>0</v>
      </c>
      <c r="N78" s="5">
        <v>760</v>
      </c>
      <c r="O78" s="5" cm="1">
        <f t="array" aca="1" ref="O78:W78" ca="1">OFFSET('1'!$D$1,MATCH(Calculation!$N78,'1'!$D:$D,0)-1,0,1,COUNTA('1'!D78:ZY78))</f>
        <v>760</v>
      </c>
      <c r="P78" s="9">
        <f ca="1"/>
        <v>2.2622101009999999E-2</v>
      </c>
      <c r="Q78" s="9">
        <f ca="1"/>
        <v>2.0627465099999999E-2</v>
      </c>
      <c r="R78" s="9">
        <f ca="1"/>
        <v>7.0372924210000007E-2</v>
      </c>
      <c r="S78">
        <f ca="1"/>
        <v>3.9398770780000002E-2</v>
      </c>
      <c r="T78">
        <f ca="1"/>
        <v>4.524310678E-2</v>
      </c>
      <c r="U78">
        <f ca="1"/>
        <v>6.8985611200000005E-2</v>
      </c>
      <c r="V78">
        <f ca="1"/>
        <v>2.979423665E-2</v>
      </c>
      <c r="W78">
        <f ca="1"/>
        <v>3.8889270279999999E-2</v>
      </c>
    </row>
    <row r="79" spans="1:23">
      <c r="A79" s="5">
        <v>765</v>
      </c>
      <c r="B79" s="9">
        <v>56.611800000000002</v>
      </c>
      <c r="D79" s="5">
        <v>765</v>
      </c>
      <c r="E79" s="9">
        <v>9.0000000000000006E-5</v>
      </c>
      <c r="F79" s="9">
        <v>3.6000000000000001E-5</v>
      </c>
      <c r="G79" s="9">
        <v>0</v>
      </c>
      <c r="I79" s="5">
        <v>765</v>
      </c>
      <c r="J79" s="9">
        <f t="shared" si="4"/>
        <v>5.0950620000000009E-3</v>
      </c>
      <c r="K79" s="9">
        <f t="shared" si="5"/>
        <v>2.0380248000000001E-3</v>
      </c>
      <c r="L79" s="9">
        <f t="shared" si="6"/>
        <v>0</v>
      </c>
      <c r="N79" s="5">
        <v>765</v>
      </c>
      <c r="O79" s="5" cm="1">
        <f t="array" aca="1" ref="O79:W79" ca="1">OFFSET('1'!$D$1,MATCH(Calculation!$N79,'1'!$D:$D,0)-1,0,1,COUNTA('1'!D79:ZY79))</f>
        <v>765</v>
      </c>
      <c r="P79" s="9">
        <f ca="1"/>
        <v>1.8390180539999999E-2</v>
      </c>
      <c r="Q79" s="9">
        <f ca="1"/>
        <v>1.7871523279999999E-2</v>
      </c>
      <c r="R79" s="9">
        <f ca="1"/>
        <v>6.7477606240000002E-2</v>
      </c>
      <c r="S79">
        <f ca="1"/>
        <v>3.5780448469999997E-2</v>
      </c>
      <c r="T79">
        <f ca="1"/>
        <v>4.3127872050000002E-2</v>
      </c>
      <c r="U79">
        <f ca="1"/>
        <v>6.7427054050000004E-2</v>
      </c>
      <c r="V79">
        <f ca="1"/>
        <v>2.923326939E-2</v>
      </c>
      <c r="W79">
        <f ca="1"/>
        <v>3.8436193020000002E-2</v>
      </c>
    </row>
    <row r="80" spans="1:23">
      <c r="A80" s="5">
        <v>770</v>
      </c>
      <c r="B80" s="9">
        <v>66.805400000000006</v>
      </c>
      <c r="D80" s="5">
        <v>770</v>
      </c>
      <c r="E80" s="9">
        <v>6.4999999999999994E-5</v>
      </c>
      <c r="F80" s="9">
        <v>2.5000000000000001E-5</v>
      </c>
      <c r="G80" s="9">
        <v>0</v>
      </c>
      <c r="I80" s="5">
        <v>770</v>
      </c>
      <c r="J80" s="9">
        <f t="shared" si="4"/>
        <v>4.3423510000000004E-3</v>
      </c>
      <c r="K80" s="9">
        <f t="shared" si="5"/>
        <v>1.6701350000000003E-3</v>
      </c>
      <c r="L80" s="9">
        <f t="shared" si="6"/>
        <v>0</v>
      </c>
      <c r="N80" s="5">
        <v>770</v>
      </c>
      <c r="O80" s="5" cm="1">
        <f t="array" aca="1" ref="O80:W80" ca="1">OFFSET('1'!$D$1,MATCH(Calculation!$N80,'1'!$D:$D,0)-1,0,1,COUNTA('1'!D80:ZY80))</f>
        <v>770</v>
      </c>
      <c r="P80" s="9">
        <f ca="1"/>
        <v>1.4807844529999999E-2</v>
      </c>
      <c r="Q80" s="9">
        <f ca="1"/>
        <v>1.6636926680000001E-2</v>
      </c>
      <c r="R80" s="9">
        <f ca="1"/>
        <v>6.3180848959999994E-2</v>
      </c>
      <c r="S80">
        <f ca="1"/>
        <v>3.2112415880000002E-2</v>
      </c>
      <c r="T80">
        <f ca="1"/>
        <v>4.1323028499999997E-2</v>
      </c>
      <c r="U80">
        <f ca="1"/>
        <v>6.6932409999999998E-2</v>
      </c>
      <c r="V80">
        <f ca="1"/>
        <v>2.88322214E-2</v>
      </c>
      <c r="W80">
        <f ca="1"/>
        <v>3.7697855379999999E-2</v>
      </c>
    </row>
    <row r="81" spans="1:36">
      <c r="A81" s="5">
        <v>775</v>
      </c>
      <c r="B81" s="9">
        <v>65.094099999999997</v>
      </c>
      <c r="D81" s="5">
        <v>775</v>
      </c>
      <c r="E81" s="9">
        <v>4.6E-5</v>
      </c>
      <c r="F81" s="9">
        <v>1.8E-5</v>
      </c>
      <c r="G81" s="9">
        <v>0</v>
      </c>
      <c r="I81" s="5">
        <v>775</v>
      </c>
      <c r="J81" s="9">
        <f t="shared" si="4"/>
        <v>2.9943285999999999E-3</v>
      </c>
      <c r="K81" s="9">
        <f t="shared" si="5"/>
        <v>1.1716938E-3</v>
      </c>
      <c r="L81" s="9">
        <f t="shared" si="6"/>
        <v>0</v>
      </c>
      <c r="N81" s="5">
        <v>775</v>
      </c>
      <c r="O81" s="5" cm="1">
        <f t="array" aca="1" ref="O81:W81" ca="1">OFFSET('1'!$D$1,MATCH(Calculation!$N81,'1'!$D:$D,0)-1,0,1,COUNTA('1'!D81:ZY81))</f>
        <v>775</v>
      </c>
      <c r="P81" s="9">
        <f ca="1"/>
        <v>1.2251476759999999E-2</v>
      </c>
      <c r="Q81" s="9">
        <f ca="1"/>
        <v>1.5275983139999999E-2</v>
      </c>
      <c r="R81" s="9">
        <f ca="1"/>
        <v>6.0803607109999998E-2</v>
      </c>
      <c r="S81">
        <f ca="1"/>
        <v>2.9650289569999998E-2</v>
      </c>
      <c r="T81">
        <f ca="1"/>
        <v>3.9960205550000003E-2</v>
      </c>
      <c r="U81">
        <f ca="1"/>
        <v>6.4633697269999998E-2</v>
      </c>
      <c r="V81">
        <f ca="1"/>
        <v>2.8395561499999999E-2</v>
      </c>
      <c r="W81">
        <f ca="1"/>
        <v>3.7881977859999999E-2</v>
      </c>
    </row>
    <row r="82" spans="1:36">
      <c r="A82" s="5">
        <v>780</v>
      </c>
      <c r="B82" s="9">
        <v>63.382800000000003</v>
      </c>
      <c r="D82" s="5">
        <v>780</v>
      </c>
      <c r="E82" s="9">
        <v>3.3000000000000003E-5</v>
      </c>
      <c r="F82" s="9">
        <v>1.2999999999999999E-5</v>
      </c>
      <c r="G82" s="9">
        <v>0</v>
      </c>
      <c r="I82" s="5">
        <v>780</v>
      </c>
      <c r="J82" s="9">
        <f t="shared" si="4"/>
        <v>2.0916324000000001E-3</v>
      </c>
      <c r="K82" s="9">
        <f t="shared" si="5"/>
        <v>8.2397639999999995E-4</v>
      </c>
      <c r="L82" s="9">
        <f t="shared" si="6"/>
        <v>0</v>
      </c>
      <c r="N82" s="5">
        <v>780</v>
      </c>
      <c r="O82" s="5" cm="1">
        <f t="array" aca="1" ref="O82:W82" ca="1">OFFSET('1'!$D$1,MATCH(Calculation!$N82,'1'!$D:$D,0)-1,0,1,COUNTA('1'!D82:ZY82))</f>
        <v>780</v>
      </c>
      <c r="P82" s="9">
        <f ca="1"/>
        <v>1.056837197E-2</v>
      </c>
      <c r="Q82" s="9">
        <f ca="1"/>
        <v>1.431894023E-2</v>
      </c>
      <c r="R82" s="9">
        <f ca="1"/>
        <v>5.9732213620000002E-2</v>
      </c>
      <c r="S82">
        <f ca="1"/>
        <v>2.8083370999999999E-2</v>
      </c>
      <c r="T82">
        <f ca="1"/>
        <v>3.9748847480000002E-2</v>
      </c>
      <c r="U82">
        <f ca="1"/>
        <v>6.4125113189999999E-2</v>
      </c>
      <c r="V82">
        <f ca="1"/>
        <v>2.8469933199999999E-2</v>
      </c>
      <c r="W82">
        <f ca="1"/>
        <v>3.7686027589999997E-2</v>
      </c>
    </row>
    <row r="84" spans="1:36">
      <c r="I84" s="15"/>
      <c r="N84" s="4"/>
      <c r="O84" s="5">
        <v>380</v>
      </c>
      <c r="P84" s="9" cm="1">
        <f t="array" aca="1" ref="P84:W164" ca="1">10^-OFFSET(P2,0,0,81,COUNTA('1'!D2:ZY2)-1)</f>
        <v>0.82889133498872825</v>
      </c>
      <c r="Q84" s="9">
        <f ca="1"/>
        <v>0.65400302500359142</v>
      </c>
      <c r="R84" s="9">
        <f ca="1"/>
        <v>0.57310473180630406</v>
      </c>
      <c r="S84" s="9">
        <f ca="1"/>
        <v>0.66240679253999279</v>
      </c>
      <c r="T84" s="9">
        <f ca="1"/>
        <v>0.56189490961416155</v>
      </c>
      <c r="U84" s="9">
        <f ca="1"/>
        <v>0.38393844021915718</v>
      </c>
      <c r="V84" s="9">
        <f ca="1"/>
        <v>0.63125937122537434</v>
      </c>
      <c r="W84" s="9">
        <f ca="1"/>
        <v>0.63426703612018887</v>
      </c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</row>
    <row r="85" spans="1:36">
      <c r="N85" s="4"/>
      <c r="O85" s="5">
        <v>385</v>
      </c>
      <c r="P85" s="9">
        <f ca="1"/>
        <v>0.84268236096450222</v>
      </c>
      <c r="Q85" s="9">
        <f ca="1"/>
        <v>0.67326169216172471</v>
      </c>
      <c r="R85" s="9">
        <f ca="1"/>
        <v>0.5866368391801926</v>
      </c>
      <c r="S85" s="9">
        <f ca="1"/>
        <v>0.67304693879354005</v>
      </c>
      <c r="T85" s="9">
        <f ca="1"/>
        <v>0.56962274785131695</v>
      </c>
      <c r="U85" s="9">
        <f ca="1"/>
        <v>0.39560889531487808</v>
      </c>
      <c r="V85" s="9">
        <f ca="1"/>
        <v>0.64250892504727097</v>
      </c>
      <c r="W85" s="9">
        <f ca="1"/>
        <v>0.64455367184076584</v>
      </c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</row>
    <row r="86" spans="1:36">
      <c r="N86" s="4"/>
      <c r="O86" s="5">
        <v>390</v>
      </c>
      <c r="P86" s="9">
        <f ca="1"/>
        <v>0.8543662459993101</v>
      </c>
      <c r="Q86" s="9">
        <f ca="1"/>
        <v>0.69033610794226496</v>
      </c>
      <c r="R86" s="9">
        <f ca="1"/>
        <v>0.59851425818038761</v>
      </c>
      <c r="S86" s="9">
        <f ca="1"/>
        <v>0.68234710892072903</v>
      </c>
      <c r="T86" s="9">
        <f ca="1"/>
        <v>0.57571654575164222</v>
      </c>
      <c r="U86" s="9">
        <f ca="1"/>
        <v>0.40670109434591845</v>
      </c>
      <c r="V86" s="9">
        <f ca="1"/>
        <v>0.6533765193386355</v>
      </c>
      <c r="W86" s="9">
        <f ca="1"/>
        <v>0.65496230365642716</v>
      </c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</row>
    <row r="87" spans="1:36">
      <c r="N87" s="4"/>
      <c r="O87" s="5">
        <v>395</v>
      </c>
      <c r="P87" s="9">
        <f ca="1"/>
        <v>0.86327392062797526</v>
      </c>
      <c r="Q87" s="9">
        <f ca="1"/>
        <v>0.70740891624570235</v>
      </c>
      <c r="R87" s="9">
        <f ca="1"/>
        <v>0.61276506936501507</v>
      </c>
      <c r="S87" s="9">
        <f ca="1"/>
        <v>0.68843799500482084</v>
      </c>
      <c r="T87" s="9">
        <f ca="1"/>
        <v>0.5798578802681873</v>
      </c>
      <c r="U87" s="9">
        <f ca="1"/>
        <v>0.41684347133406585</v>
      </c>
      <c r="V87" s="9">
        <f ca="1"/>
        <v>0.66352736436623916</v>
      </c>
      <c r="W87" s="9">
        <f ca="1"/>
        <v>0.66350125185129927</v>
      </c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</row>
    <row r="88" spans="1:36">
      <c r="N88" s="4"/>
      <c r="O88" s="5">
        <v>400</v>
      </c>
      <c r="P88" s="9">
        <f ca="1"/>
        <v>0.8711786854235205</v>
      </c>
      <c r="Q88" s="9">
        <f ca="1"/>
        <v>0.72201652282846407</v>
      </c>
      <c r="R88" s="9">
        <f ca="1"/>
        <v>0.6237596851536592</v>
      </c>
      <c r="S88" s="9">
        <f ca="1"/>
        <v>0.69361675035495585</v>
      </c>
      <c r="T88" s="9">
        <f ca="1"/>
        <v>0.58246289735400869</v>
      </c>
      <c r="U88" s="9">
        <f ca="1"/>
        <v>0.42577938810285632</v>
      </c>
      <c r="V88" s="9">
        <f ca="1"/>
        <v>0.67366177149370221</v>
      </c>
      <c r="W88" s="9">
        <f ca="1"/>
        <v>0.67336029184813195</v>
      </c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</row>
    <row r="89" spans="1:36">
      <c r="N89" s="4"/>
      <c r="O89" s="5">
        <v>405</v>
      </c>
      <c r="P89" s="9">
        <f ca="1"/>
        <v>0.87732195776166655</v>
      </c>
      <c r="Q89" s="9">
        <f ca="1"/>
        <v>0.73571317268210112</v>
      </c>
      <c r="R89" s="9">
        <f ca="1"/>
        <v>0.63249986652544543</v>
      </c>
      <c r="S89" s="9">
        <f ca="1"/>
        <v>0.69711064333237038</v>
      </c>
      <c r="T89" s="9">
        <f ca="1"/>
        <v>0.58359092221191089</v>
      </c>
      <c r="U89" s="9">
        <f ca="1"/>
        <v>0.43433208503054316</v>
      </c>
      <c r="V89" s="9">
        <f ca="1"/>
        <v>0.6833716669594222</v>
      </c>
      <c r="W89" s="9">
        <f ca="1"/>
        <v>0.68270081766056745</v>
      </c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</row>
    <row r="90" spans="1:36">
      <c r="N90" s="4"/>
      <c r="O90" s="5">
        <v>410</v>
      </c>
      <c r="P90" s="9">
        <f ca="1"/>
        <v>0.88241416511540005</v>
      </c>
      <c r="Q90" s="9">
        <f ca="1"/>
        <v>0.74865955487013958</v>
      </c>
      <c r="R90" s="9">
        <f ca="1"/>
        <v>0.63958650567125064</v>
      </c>
      <c r="S90" s="9">
        <f ca="1"/>
        <v>0.7002989553456721</v>
      </c>
      <c r="T90" s="9">
        <f ca="1"/>
        <v>0.58487916502923709</v>
      </c>
      <c r="U90" s="9">
        <f ca="1"/>
        <v>0.4419392010334085</v>
      </c>
      <c r="V90" s="9">
        <f ca="1"/>
        <v>0.69295626712804737</v>
      </c>
      <c r="W90" s="9">
        <f ca="1"/>
        <v>0.69262302932494169</v>
      </c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</row>
    <row r="91" spans="1:36">
      <c r="N91" s="4"/>
      <c r="O91" s="5">
        <v>415</v>
      </c>
      <c r="P91" s="9">
        <f ca="1"/>
        <v>0.88588767891283005</v>
      </c>
      <c r="Q91" s="9">
        <f ca="1"/>
        <v>0.7586829601212729</v>
      </c>
      <c r="R91" s="9">
        <f ca="1"/>
        <v>0.65126199581766542</v>
      </c>
      <c r="S91" s="9">
        <f ca="1"/>
        <v>0.70318930789595058</v>
      </c>
      <c r="T91" s="9">
        <f ca="1"/>
        <v>0.58681177927298467</v>
      </c>
      <c r="U91" s="9">
        <f ca="1"/>
        <v>0.44920005720891021</v>
      </c>
      <c r="V91" s="9">
        <f ca="1"/>
        <v>0.70248919397027643</v>
      </c>
      <c r="W91" s="9">
        <f ca="1"/>
        <v>0.7021720909767315</v>
      </c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</row>
    <row r="92" spans="1:36">
      <c r="N92" s="4"/>
      <c r="O92" s="5">
        <v>420</v>
      </c>
      <c r="P92" s="9">
        <f ca="1"/>
        <v>0.88941663488512512</v>
      </c>
      <c r="Q92" s="9">
        <f ca="1"/>
        <v>0.76927250951240356</v>
      </c>
      <c r="R92" s="9">
        <f ca="1"/>
        <v>0.65534555002908046</v>
      </c>
      <c r="S92" s="9">
        <f ca="1"/>
        <v>0.70736216973220345</v>
      </c>
      <c r="T92" s="9">
        <f ca="1"/>
        <v>0.5911367636628847</v>
      </c>
      <c r="U92" s="9">
        <f ca="1"/>
        <v>0.45740672930656007</v>
      </c>
      <c r="V92" s="9">
        <f ca="1"/>
        <v>0.71273363236222487</v>
      </c>
      <c r="W92" s="9">
        <f ca="1"/>
        <v>0.71229959497858253</v>
      </c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</row>
    <row r="93" spans="1:36">
      <c r="N93" s="4"/>
      <c r="O93" s="5">
        <v>425</v>
      </c>
      <c r="P93" s="9">
        <f ca="1"/>
        <v>0.8914331195731684</v>
      </c>
      <c r="Q93" s="9">
        <f ca="1"/>
        <v>0.77805615042509646</v>
      </c>
      <c r="R93" s="9">
        <f ca="1"/>
        <v>0.66535330257038927</v>
      </c>
      <c r="S93" s="9">
        <f ca="1"/>
        <v>0.71105010517920464</v>
      </c>
      <c r="T93" s="9">
        <f ca="1"/>
        <v>0.59624976461604817</v>
      </c>
      <c r="U93" s="9">
        <f ca="1"/>
        <v>0.4655920497725336</v>
      </c>
      <c r="V93" s="9">
        <f ca="1"/>
        <v>0.72199534200078941</v>
      </c>
      <c r="W93" s="9">
        <f ca="1"/>
        <v>0.72195959609801097</v>
      </c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</row>
    <row r="94" spans="1:36">
      <c r="N94" s="4"/>
      <c r="O94" s="5">
        <v>430</v>
      </c>
      <c r="P94" s="9">
        <f ca="1"/>
        <v>0.89309120464165526</v>
      </c>
      <c r="Q94" s="9">
        <f ca="1"/>
        <v>0.78632605409483403</v>
      </c>
      <c r="R94" s="9">
        <f ca="1"/>
        <v>0.67347348686577391</v>
      </c>
      <c r="S94" s="9">
        <f ca="1"/>
        <v>0.71606702770872255</v>
      </c>
      <c r="T94" s="9">
        <f ca="1"/>
        <v>0.60433311155727409</v>
      </c>
      <c r="U94" s="9">
        <f ca="1"/>
        <v>0.47435114802740302</v>
      </c>
      <c r="V94" s="9">
        <f ca="1"/>
        <v>0.7309384336041943</v>
      </c>
      <c r="W94" s="9">
        <f ca="1"/>
        <v>0.73114115319348505</v>
      </c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</row>
    <row r="95" spans="1:36">
      <c r="N95" s="4"/>
      <c r="O95" s="5">
        <v>435</v>
      </c>
      <c r="P95" s="9">
        <f ca="1"/>
        <v>0.89374679218010666</v>
      </c>
      <c r="Q95" s="9">
        <f ca="1"/>
        <v>0.79332262493759265</v>
      </c>
      <c r="R95" s="9">
        <f ca="1"/>
        <v>0.67997229650467217</v>
      </c>
      <c r="S95" s="9">
        <f ca="1"/>
        <v>0.72265982358163572</v>
      </c>
      <c r="T95" s="9">
        <f ca="1"/>
        <v>0.61639994032300771</v>
      </c>
      <c r="U95" s="9">
        <f ca="1"/>
        <v>0.48407768811308921</v>
      </c>
      <c r="V95" s="9">
        <f ca="1"/>
        <v>0.7390392398456842</v>
      </c>
      <c r="W95" s="9">
        <f ca="1"/>
        <v>0.73920636353935676</v>
      </c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</row>
    <row r="96" spans="1:36">
      <c r="N96" s="4"/>
      <c r="O96" s="5">
        <v>440</v>
      </c>
      <c r="P96" s="9">
        <f ca="1"/>
        <v>0.89437126816605783</v>
      </c>
      <c r="Q96" s="9">
        <f ca="1"/>
        <v>0.80100512213942565</v>
      </c>
      <c r="R96" s="9">
        <f ca="1"/>
        <v>0.6852583976475497</v>
      </c>
      <c r="S96" s="9">
        <f ca="1"/>
        <v>0.73161280267771567</v>
      </c>
      <c r="T96" s="9">
        <f ca="1"/>
        <v>0.63393067767097411</v>
      </c>
      <c r="U96" s="9">
        <f ca="1"/>
        <v>0.49565659934364842</v>
      </c>
      <c r="V96" s="9">
        <f ca="1"/>
        <v>0.7465976462149565</v>
      </c>
      <c r="W96" s="9">
        <f ca="1"/>
        <v>0.74660586925332462</v>
      </c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</row>
    <row r="97" spans="14:36">
      <c r="N97" s="4"/>
      <c r="O97" s="5">
        <v>445</v>
      </c>
      <c r="P97" s="9">
        <f ca="1"/>
        <v>0.89383441551909326</v>
      </c>
      <c r="Q97" s="9">
        <f ca="1"/>
        <v>0.80806833833553338</v>
      </c>
      <c r="R97" s="9">
        <f ca="1"/>
        <v>0.69280761071433417</v>
      </c>
      <c r="S97" s="9">
        <f ca="1"/>
        <v>0.74084884526799333</v>
      </c>
      <c r="T97" s="9">
        <f ca="1"/>
        <v>0.65351850868175754</v>
      </c>
      <c r="U97" s="9">
        <f ca="1"/>
        <v>0.50922835386803156</v>
      </c>
      <c r="V97" s="9">
        <f ca="1"/>
        <v>0.75352651357499334</v>
      </c>
      <c r="W97" s="9">
        <f ca="1"/>
        <v>0.75346827874633771</v>
      </c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</row>
    <row r="98" spans="14:36">
      <c r="N98" s="4"/>
      <c r="O98" s="5">
        <v>450</v>
      </c>
      <c r="P98" s="9">
        <f ca="1"/>
        <v>0.89343678691149175</v>
      </c>
      <c r="Q98" s="9">
        <f ca="1"/>
        <v>0.81482029629476638</v>
      </c>
      <c r="R98" s="9">
        <f ca="1"/>
        <v>0.70235049348266521</v>
      </c>
      <c r="S98" s="9">
        <f ca="1"/>
        <v>0.74868177479448994</v>
      </c>
      <c r="T98" s="9">
        <f ca="1"/>
        <v>0.67186033398409239</v>
      </c>
      <c r="U98" s="9">
        <f ca="1"/>
        <v>0.5234365963539912</v>
      </c>
      <c r="V98" s="9">
        <f ca="1"/>
        <v>0.76060086871101862</v>
      </c>
      <c r="W98" s="9">
        <f ca="1"/>
        <v>0.75998759883515732</v>
      </c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</row>
    <row r="99" spans="14:36">
      <c r="N99" s="4"/>
      <c r="O99" s="5">
        <v>455</v>
      </c>
      <c r="P99" s="9">
        <f ca="1"/>
        <v>0.89113282963846552</v>
      </c>
      <c r="Q99" s="9">
        <f ca="1"/>
        <v>0.82098626521447049</v>
      </c>
      <c r="R99" s="9">
        <f ca="1"/>
        <v>0.70863668954047609</v>
      </c>
      <c r="S99" s="9">
        <f ca="1"/>
        <v>0.75442301752260421</v>
      </c>
      <c r="T99" s="9">
        <f ca="1"/>
        <v>0.68655621971116965</v>
      </c>
      <c r="U99" s="9">
        <f ca="1"/>
        <v>0.53672857352516601</v>
      </c>
      <c r="V99" s="9">
        <f ca="1"/>
        <v>0.76643031733624001</v>
      </c>
      <c r="W99" s="9">
        <f ca="1"/>
        <v>0.76553798359556591</v>
      </c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</row>
    <row r="100" spans="14:36">
      <c r="N100" s="4"/>
      <c r="O100" s="5">
        <v>460</v>
      </c>
      <c r="P100" s="9">
        <f ca="1"/>
        <v>0.88849520323587661</v>
      </c>
      <c r="Q100" s="9">
        <f ca="1"/>
        <v>0.82825821255181153</v>
      </c>
      <c r="R100" s="9">
        <f ca="1"/>
        <v>0.7082219624477073</v>
      </c>
      <c r="S100" s="9">
        <f ca="1"/>
        <v>0.75932943692698895</v>
      </c>
      <c r="T100" s="9">
        <f ca="1"/>
        <v>0.69890409791638097</v>
      </c>
      <c r="U100" s="9">
        <f ca="1"/>
        <v>0.54931462997201841</v>
      </c>
      <c r="V100" s="9">
        <f ca="1"/>
        <v>0.77241390508939411</v>
      </c>
      <c r="W100" s="9">
        <f ca="1"/>
        <v>0.77016598562906513</v>
      </c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</row>
    <row r="101" spans="14:36">
      <c r="N101" s="4"/>
      <c r="O101" s="5">
        <v>465</v>
      </c>
      <c r="P101" s="9">
        <f ca="1"/>
        <v>0.88510971946673933</v>
      </c>
      <c r="Q101" s="9">
        <f ca="1"/>
        <v>0.83182012630735847</v>
      </c>
      <c r="R101" s="9">
        <f ca="1"/>
        <v>0.71517199411348109</v>
      </c>
      <c r="S101" s="9">
        <f ca="1"/>
        <v>0.76229023419613984</v>
      </c>
      <c r="T101" s="9">
        <f ca="1"/>
        <v>0.70855986088075029</v>
      </c>
      <c r="U101" s="9">
        <f ca="1"/>
        <v>0.56094278076451076</v>
      </c>
      <c r="V101" s="9">
        <f ca="1"/>
        <v>0.77803993267380234</v>
      </c>
      <c r="W101" s="9">
        <f ca="1"/>
        <v>0.77528346040638618</v>
      </c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</row>
    <row r="102" spans="14:36">
      <c r="N102" s="4"/>
      <c r="O102" s="5">
        <v>470</v>
      </c>
      <c r="P102" s="9">
        <f ca="1"/>
        <v>0.88055998122971402</v>
      </c>
      <c r="Q102" s="9">
        <f ca="1"/>
        <v>0.8358751571535239</v>
      </c>
      <c r="R102" s="9">
        <f ca="1"/>
        <v>0.71817224953408909</v>
      </c>
      <c r="S102" s="9">
        <f ca="1"/>
        <v>0.76424545000554167</v>
      </c>
      <c r="T102" s="9">
        <f ca="1"/>
        <v>0.71696495248747305</v>
      </c>
      <c r="U102" s="9">
        <f ca="1"/>
        <v>0.57178646792979038</v>
      </c>
      <c r="V102" s="9">
        <f ca="1"/>
        <v>0.78311706133069581</v>
      </c>
      <c r="W102" s="9">
        <f ca="1"/>
        <v>0.77967601442277701</v>
      </c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</row>
    <row r="103" spans="14:36">
      <c r="N103" s="4"/>
      <c r="O103" s="5">
        <v>475</v>
      </c>
      <c r="P103" s="9">
        <f ca="1"/>
        <v>0.87449741157841221</v>
      </c>
      <c r="Q103" s="9">
        <f ca="1"/>
        <v>0.83848661567329486</v>
      </c>
      <c r="R103" s="9">
        <f ca="1"/>
        <v>0.72117138311044171</v>
      </c>
      <c r="S103" s="9">
        <f ca="1"/>
        <v>0.76546001539501241</v>
      </c>
      <c r="T103" s="9">
        <f ca="1"/>
        <v>0.72446655772856017</v>
      </c>
      <c r="U103" s="9">
        <f ca="1"/>
        <v>0.58219993417451732</v>
      </c>
      <c r="V103" s="9">
        <f ca="1"/>
        <v>0.78801846666843944</v>
      </c>
      <c r="W103" s="9">
        <f ca="1"/>
        <v>0.78393650447192098</v>
      </c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</row>
    <row r="104" spans="14:36">
      <c r="N104" s="4"/>
      <c r="O104" s="5">
        <v>480</v>
      </c>
      <c r="P104" s="9">
        <f ca="1"/>
        <v>0.86687165392752219</v>
      </c>
      <c r="Q104" s="9">
        <f ca="1"/>
        <v>0.84149014999994887</v>
      </c>
      <c r="R104" s="9">
        <f ca="1"/>
        <v>0.72377746814846045</v>
      </c>
      <c r="S104" s="9">
        <f ca="1"/>
        <v>0.76553190295339713</v>
      </c>
      <c r="T104" s="9">
        <f ca="1"/>
        <v>0.73094242126055853</v>
      </c>
      <c r="U104" s="9">
        <f ca="1"/>
        <v>0.59220235689889444</v>
      </c>
      <c r="V104" s="9">
        <f ca="1"/>
        <v>0.79268599054135602</v>
      </c>
      <c r="W104" s="9">
        <f ca="1"/>
        <v>0.78771853875588593</v>
      </c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</row>
    <row r="105" spans="14:36">
      <c r="N105" s="4"/>
      <c r="O105" s="5">
        <v>485</v>
      </c>
      <c r="P105" s="9">
        <f ca="1"/>
        <v>0.85787290811064265</v>
      </c>
      <c r="Q105" s="9">
        <f ca="1"/>
        <v>0.84182441590352897</v>
      </c>
      <c r="R105" s="9">
        <f ca="1"/>
        <v>0.72463227561285848</v>
      </c>
      <c r="S105" s="9">
        <f ca="1"/>
        <v>0.76361424142451029</v>
      </c>
      <c r="T105" s="9">
        <f ca="1"/>
        <v>0.73574710021658996</v>
      </c>
      <c r="U105" s="9">
        <f ca="1"/>
        <v>0.60110323742439575</v>
      </c>
      <c r="V105" s="9">
        <f ca="1"/>
        <v>0.79693192793591805</v>
      </c>
      <c r="W105" s="9">
        <f ca="1"/>
        <v>0.7912963043237321</v>
      </c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</row>
    <row r="106" spans="14:36">
      <c r="N106" s="4"/>
      <c r="O106" s="5">
        <v>490</v>
      </c>
      <c r="P106" s="9">
        <f ca="1"/>
        <v>0.84650885378288288</v>
      </c>
      <c r="Q106" s="9">
        <f ca="1"/>
        <v>0.84163570900348494</v>
      </c>
      <c r="R106" s="9">
        <f ca="1"/>
        <v>0.72258866457208759</v>
      </c>
      <c r="S106" s="9">
        <f ca="1"/>
        <v>0.76151067528662042</v>
      </c>
      <c r="T106" s="9">
        <f ca="1"/>
        <v>0.73945777947073665</v>
      </c>
      <c r="U106" s="9">
        <f ca="1"/>
        <v>0.60905861096961766</v>
      </c>
      <c r="V106" s="9">
        <f ca="1"/>
        <v>0.80079972350339435</v>
      </c>
      <c r="W106" s="9">
        <f ca="1"/>
        <v>0.79453503765535494</v>
      </c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</row>
    <row r="107" spans="14:36">
      <c r="N107" s="4"/>
      <c r="O107" s="5">
        <v>495</v>
      </c>
      <c r="P107" s="9">
        <f ca="1"/>
        <v>0.83625823593516746</v>
      </c>
      <c r="Q107" s="9">
        <f ca="1"/>
        <v>0.8429741914081671</v>
      </c>
      <c r="R107" s="9">
        <f ca="1"/>
        <v>0.71986036387811136</v>
      </c>
      <c r="S107" s="9">
        <f ca="1"/>
        <v>0.75814378303016172</v>
      </c>
      <c r="T107" s="9">
        <f ca="1"/>
        <v>0.74278056514432078</v>
      </c>
      <c r="U107" s="9">
        <f ca="1"/>
        <v>0.61710834498794631</v>
      </c>
      <c r="V107" s="9">
        <f ca="1"/>
        <v>0.8052706699368295</v>
      </c>
      <c r="W107" s="9">
        <f ca="1"/>
        <v>0.79843288092879061</v>
      </c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</row>
    <row r="108" spans="14:36">
      <c r="N108" s="4"/>
      <c r="O108" s="5">
        <v>500</v>
      </c>
      <c r="P108" s="9">
        <f ca="1"/>
        <v>0.82437031950365225</v>
      </c>
      <c r="Q108" s="9">
        <f ca="1"/>
        <v>0.84289831416717276</v>
      </c>
      <c r="R108" s="9">
        <f ca="1"/>
        <v>0.7172316898653085</v>
      </c>
      <c r="S108" s="9">
        <f ca="1"/>
        <v>0.75314235063944235</v>
      </c>
      <c r="T108" s="9">
        <f ca="1"/>
        <v>0.74454706194542786</v>
      </c>
      <c r="U108" s="9">
        <f ca="1"/>
        <v>0.62390375835572542</v>
      </c>
      <c r="V108" s="9">
        <f ca="1"/>
        <v>0.80943762616053538</v>
      </c>
      <c r="W108" s="9">
        <f ca="1"/>
        <v>0.8018277938767443</v>
      </c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</row>
    <row r="109" spans="14:36">
      <c r="N109" s="4"/>
      <c r="O109" s="5">
        <v>505</v>
      </c>
      <c r="P109" s="9">
        <f ca="1"/>
        <v>0.81248426929217288</v>
      </c>
      <c r="Q109" s="9">
        <f ca="1"/>
        <v>0.84295570953073562</v>
      </c>
      <c r="R109" s="9">
        <f ca="1"/>
        <v>0.71526050963063947</v>
      </c>
      <c r="S109" s="9">
        <f ca="1"/>
        <v>0.74769425447511051</v>
      </c>
      <c r="T109" s="9">
        <f ca="1"/>
        <v>0.74612539892395469</v>
      </c>
      <c r="U109" s="9">
        <f ca="1"/>
        <v>0.63069736884599992</v>
      </c>
      <c r="V109" s="9">
        <f ca="1"/>
        <v>0.81373160608338491</v>
      </c>
      <c r="W109" s="9">
        <f ca="1"/>
        <v>0.80622565180335715</v>
      </c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</row>
    <row r="110" spans="14:36">
      <c r="N110" s="4"/>
      <c r="O110" s="5">
        <v>510</v>
      </c>
      <c r="P110" s="9">
        <f ca="1"/>
        <v>0.79954105846480827</v>
      </c>
      <c r="Q110" s="9">
        <f ca="1"/>
        <v>0.84159952625322276</v>
      </c>
      <c r="R110" s="9">
        <f ca="1"/>
        <v>0.71072684553609222</v>
      </c>
      <c r="S110" s="9">
        <f ca="1"/>
        <v>0.74024261182641959</v>
      </c>
      <c r="T110" s="9">
        <f ca="1"/>
        <v>0.74532197754863927</v>
      </c>
      <c r="U110" s="9">
        <f ca="1"/>
        <v>0.63681805532750413</v>
      </c>
      <c r="V110" s="9">
        <f ca="1"/>
        <v>0.81771028317835748</v>
      </c>
      <c r="W110" s="9">
        <f ca="1"/>
        <v>0.80991304112271212</v>
      </c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</row>
    <row r="111" spans="14:36">
      <c r="N111" s="4"/>
      <c r="O111" s="5">
        <v>515</v>
      </c>
      <c r="P111" s="9">
        <f ca="1"/>
        <v>0.78574860218865916</v>
      </c>
      <c r="Q111" s="9">
        <f ca="1"/>
        <v>0.84004289004792942</v>
      </c>
      <c r="R111" s="9">
        <f ca="1"/>
        <v>0.70837331875287812</v>
      </c>
      <c r="S111" s="9">
        <f ca="1"/>
        <v>0.73178864187774495</v>
      </c>
      <c r="T111" s="9">
        <f ca="1"/>
        <v>0.74485927761041693</v>
      </c>
      <c r="U111" s="9">
        <f ca="1"/>
        <v>0.64259874361496827</v>
      </c>
      <c r="V111" s="9">
        <f ca="1"/>
        <v>0.82251549064822682</v>
      </c>
      <c r="W111" s="9">
        <f ca="1"/>
        <v>0.81453722032647602</v>
      </c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</row>
    <row r="112" spans="14:36">
      <c r="N112" s="4"/>
      <c r="O112" s="5">
        <v>520</v>
      </c>
      <c r="P112" s="9">
        <f ca="1"/>
        <v>0.7719263478837759</v>
      </c>
      <c r="Q112" s="9">
        <f ca="1"/>
        <v>0.83685421565308538</v>
      </c>
      <c r="R112" s="9">
        <f ca="1"/>
        <v>0.70479821436075474</v>
      </c>
      <c r="S112" s="9">
        <f ca="1"/>
        <v>0.72238504462898989</v>
      </c>
      <c r="T112" s="9">
        <f ca="1"/>
        <v>0.74338811194634125</v>
      </c>
      <c r="U112" s="9">
        <f ca="1"/>
        <v>0.648222915310675</v>
      </c>
      <c r="V112" s="9">
        <f ca="1"/>
        <v>0.8267022979504548</v>
      </c>
      <c r="W112" s="9">
        <f ca="1"/>
        <v>0.81867087414703055</v>
      </c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</row>
    <row r="113" spans="14:36">
      <c r="N113" s="4"/>
      <c r="O113" s="5">
        <v>525</v>
      </c>
      <c r="P113" s="9">
        <f ca="1"/>
        <v>0.75627422270489719</v>
      </c>
      <c r="Q113" s="9">
        <f ca="1"/>
        <v>0.83441424935233377</v>
      </c>
      <c r="R113" s="9">
        <f ca="1"/>
        <v>0.69692290687046055</v>
      </c>
      <c r="S113" s="9">
        <f ca="1"/>
        <v>0.71227205181674014</v>
      </c>
      <c r="T113" s="9">
        <f ca="1"/>
        <v>0.74060010724014147</v>
      </c>
      <c r="U113" s="9">
        <f ca="1"/>
        <v>0.65280676449110464</v>
      </c>
      <c r="V113" s="9">
        <f ca="1"/>
        <v>0.83052557063860777</v>
      </c>
      <c r="W113" s="9">
        <f ca="1"/>
        <v>0.82206708884015633</v>
      </c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</row>
    <row r="114" spans="14:36">
      <c r="N114" s="4"/>
      <c r="O114" s="5">
        <v>530</v>
      </c>
      <c r="P114" s="9">
        <f ca="1"/>
        <v>0.74262409956314368</v>
      </c>
      <c r="Q114" s="9">
        <f ca="1"/>
        <v>0.83090358911117601</v>
      </c>
      <c r="R114" s="9">
        <f ca="1"/>
        <v>0.6972829748172924</v>
      </c>
      <c r="S114" s="9">
        <f ca="1"/>
        <v>0.70109791231631191</v>
      </c>
      <c r="T114" s="9">
        <f ca="1"/>
        <v>0.73796993540008882</v>
      </c>
      <c r="U114" s="9">
        <f ca="1"/>
        <v>0.65800446529964829</v>
      </c>
      <c r="V114" s="9">
        <f ca="1"/>
        <v>0.83501809732817356</v>
      </c>
      <c r="W114" s="9">
        <f ca="1"/>
        <v>0.82693875519400617</v>
      </c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</row>
    <row r="115" spans="14:36">
      <c r="N115" s="4"/>
      <c r="O115" s="5">
        <v>535</v>
      </c>
      <c r="P115" s="9">
        <f ca="1"/>
        <v>0.72828949693686196</v>
      </c>
      <c r="Q115" s="9">
        <f ca="1"/>
        <v>0.82680064573249701</v>
      </c>
      <c r="R115" s="9">
        <f ca="1"/>
        <v>0.69073521812942151</v>
      </c>
      <c r="S115" s="9">
        <f ca="1"/>
        <v>0.68919544489585316</v>
      </c>
      <c r="T115" s="9">
        <f ca="1"/>
        <v>0.73387919650937661</v>
      </c>
      <c r="U115" s="9">
        <f ca="1"/>
        <v>0.66130154553575793</v>
      </c>
      <c r="V115" s="9">
        <f ca="1"/>
        <v>0.83837401949917512</v>
      </c>
      <c r="W115" s="9">
        <f ca="1"/>
        <v>0.82984292273475557</v>
      </c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</row>
    <row r="116" spans="14:36">
      <c r="N116" s="4"/>
      <c r="O116" s="5">
        <v>540</v>
      </c>
      <c r="P116" s="9">
        <f ca="1"/>
        <v>0.71581398593219392</v>
      </c>
      <c r="Q116" s="9">
        <f ca="1"/>
        <v>0.82598388015189073</v>
      </c>
      <c r="R116" s="9">
        <f ca="1"/>
        <v>0.68276685378005797</v>
      </c>
      <c r="S116" s="9">
        <f ca="1"/>
        <v>0.67853289730176558</v>
      </c>
      <c r="T116" s="9">
        <f ca="1"/>
        <v>0.73023932960674998</v>
      </c>
      <c r="U116" s="9">
        <f ca="1"/>
        <v>0.6667100683632321</v>
      </c>
      <c r="V116" s="9">
        <f ca="1"/>
        <v>0.84223043506549611</v>
      </c>
      <c r="W116" s="9">
        <f ca="1"/>
        <v>0.83271747418576891</v>
      </c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</row>
    <row r="117" spans="14:36">
      <c r="N117" s="4"/>
      <c r="O117" s="5">
        <v>545</v>
      </c>
      <c r="P117" s="9">
        <f ca="1"/>
        <v>0.7041834016937264</v>
      </c>
      <c r="Q117" s="9">
        <f ca="1"/>
        <v>0.8227865038922304</v>
      </c>
      <c r="R117" s="9">
        <f ca="1"/>
        <v>0.68309450584205134</v>
      </c>
      <c r="S117" s="9">
        <f ca="1"/>
        <v>0.66653955253517605</v>
      </c>
      <c r="T117" s="9">
        <f ca="1"/>
        <v>0.7258030741009649</v>
      </c>
      <c r="U117" s="9">
        <f ca="1"/>
        <v>0.6694245328582159</v>
      </c>
      <c r="V117" s="9">
        <f ca="1"/>
        <v>0.84507899997822822</v>
      </c>
      <c r="W117" s="9">
        <f ca="1"/>
        <v>0.83676070112556411</v>
      </c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</row>
    <row r="118" spans="14:36">
      <c r="N118" s="4"/>
      <c r="O118" s="5">
        <v>550</v>
      </c>
      <c r="P118" s="9">
        <f ca="1"/>
        <v>0.69263876179914241</v>
      </c>
      <c r="Q118" s="9">
        <f ca="1"/>
        <v>0.82125305506833346</v>
      </c>
      <c r="R118" s="9">
        <f ca="1"/>
        <v>0.67745243653050657</v>
      </c>
      <c r="S118" s="9">
        <f ca="1"/>
        <v>0.65398365989872409</v>
      </c>
      <c r="T118" s="9">
        <f ca="1"/>
        <v>0.72155153013835871</v>
      </c>
      <c r="U118" s="9">
        <f ca="1"/>
        <v>0.67287265502312998</v>
      </c>
      <c r="V118" s="9">
        <f ca="1"/>
        <v>0.84907418757916864</v>
      </c>
      <c r="W118" s="9">
        <f ca="1"/>
        <v>0.84055090260971965</v>
      </c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</row>
    <row r="119" spans="14:36">
      <c r="N119" s="4"/>
      <c r="O119" s="5">
        <v>555</v>
      </c>
      <c r="P119" s="9">
        <f ca="1"/>
        <v>0.67863185002494908</v>
      </c>
      <c r="Q119" s="9">
        <f ca="1"/>
        <v>0.8182372438851403</v>
      </c>
      <c r="R119" s="9">
        <f ca="1"/>
        <v>0.67306345047457372</v>
      </c>
      <c r="S119" s="9">
        <f ca="1"/>
        <v>0.64042836372311696</v>
      </c>
      <c r="T119" s="9">
        <f ca="1"/>
        <v>0.71564466180189079</v>
      </c>
      <c r="U119" s="9">
        <f ca="1"/>
        <v>0.67516582079380594</v>
      </c>
      <c r="V119" s="9">
        <f ca="1"/>
        <v>0.85192781985559085</v>
      </c>
      <c r="W119" s="9">
        <f ca="1"/>
        <v>0.84281778790650597</v>
      </c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</row>
    <row r="120" spans="14:36">
      <c r="N120" s="4"/>
      <c r="O120" s="5">
        <v>560</v>
      </c>
      <c r="P120" s="9">
        <f ca="1"/>
        <v>0.66343981046082334</v>
      </c>
      <c r="Q120" s="9">
        <f ca="1"/>
        <v>0.81431668660901835</v>
      </c>
      <c r="R120" s="9">
        <f ca="1"/>
        <v>0.66590821160422664</v>
      </c>
      <c r="S120" s="9">
        <f ca="1"/>
        <v>0.62531799887546946</v>
      </c>
      <c r="T120" s="9">
        <f ca="1"/>
        <v>0.70914082845798854</v>
      </c>
      <c r="U120" s="9">
        <f ca="1"/>
        <v>0.6777235878222343</v>
      </c>
      <c r="V120" s="9">
        <f ca="1"/>
        <v>0.85448091666835024</v>
      </c>
      <c r="W120" s="9">
        <f ca="1"/>
        <v>0.84520286404848821</v>
      </c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</row>
    <row r="121" spans="14:36">
      <c r="N121" s="4"/>
      <c r="O121" s="5">
        <v>565</v>
      </c>
      <c r="P121" s="9">
        <f ca="1"/>
        <v>0.6464865313684065</v>
      </c>
      <c r="Q121" s="9">
        <f ca="1"/>
        <v>0.81029182539082134</v>
      </c>
      <c r="R121" s="9">
        <f ca="1"/>
        <v>0.65837699961240437</v>
      </c>
      <c r="S121" s="9">
        <f ca="1"/>
        <v>0.60980301741235932</v>
      </c>
      <c r="T121" s="9">
        <f ca="1"/>
        <v>0.70191769758500855</v>
      </c>
      <c r="U121" s="9">
        <f ca="1"/>
        <v>0.6789668826340195</v>
      </c>
      <c r="V121" s="9">
        <f ca="1"/>
        <v>0.85662394967895017</v>
      </c>
      <c r="W121" s="9">
        <f ca="1"/>
        <v>0.84780550209658734</v>
      </c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</row>
    <row r="122" spans="14:36">
      <c r="N122" s="4"/>
      <c r="O122" s="5">
        <v>570</v>
      </c>
      <c r="P122" s="9">
        <f ca="1"/>
        <v>0.63140976944468907</v>
      </c>
      <c r="Q122" s="9">
        <f ca="1"/>
        <v>0.80624484985820777</v>
      </c>
      <c r="R122" s="9">
        <f ca="1"/>
        <v>0.65203261394288725</v>
      </c>
      <c r="S122" s="9">
        <f ca="1"/>
        <v>0.59444899054558653</v>
      </c>
      <c r="T122" s="9">
        <f ca="1"/>
        <v>0.69455022013897816</v>
      </c>
      <c r="U122" s="9">
        <f ca="1"/>
        <v>0.68090153792032448</v>
      </c>
      <c r="V122" s="9">
        <f ca="1"/>
        <v>0.85992037817224787</v>
      </c>
      <c r="W122" s="9">
        <f ca="1"/>
        <v>0.85046762741240189</v>
      </c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</row>
    <row r="123" spans="14:36">
      <c r="N123" s="4"/>
      <c r="O123" s="5">
        <v>575</v>
      </c>
      <c r="P123" s="9">
        <f ca="1"/>
        <v>0.61734913717657325</v>
      </c>
      <c r="Q123" s="9">
        <f ca="1"/>
        <v>0.80317950719186337</v>
      </c>
      <c r="R123" s="9">
        <f ca="1"/>
        <v>0.64731990303229614</v>
      </c>
      <c r="S123" s="9">
        <f ca="1"/>
        <v>0.57984142677514849</v>
      </c>
      <c r="T123" s="9">
        <f ca="1"/>
        <v>0.68807137469120927</v>
      </c>
      <c r="U123" s="9">
        <f ca="1"/>
        <v>0.68241697438519644</v>
      </c>
      <c r="V123" s="9">
        <f ca="1"/>
        <v>0.86289834725951797</v>
      </c>
      <c r="W123" s="9">
        <f ca="1"/>
        <v>0.85389107573139822</v>
      </c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</row>
    <row r="124" spans="14:36">
      <c r="N124" s="4"/>
      <c r="O124" s="5">
        <v>580</v>
      </c>
      <c r="P124" s="9">
        <f ca="1"/>
        <v>0.60623115533780136</v>
      </c>
      <c r="Q124" s="9">
        <f ca="1"/>
        <v>0.80045974785610019</v>
      </c>
      <c r="R124" s="9">
        <f ca="1"/>
        <v>0.64373278470273365</v>
      </c>
      <c r="S124" s="9">
        <f ca="1"/>
        <v>0.56500947963357984</v>
      </c>
      <c r="T124" s="9">
        <f ca="1"/>
        <v>0.68079417203870984</v>
      </c>
      <c r="U124" s="9">
        <f ca="1"/>
        <v>0.68375534895431866</v>
      </c>
      <c r="V124" s="9">
        <f ca="1"/>
        <v>0.8655295934859476</v>
      </c>
      <c r="W124" s="9">
        <f ca="1"/>
        <v>0.85649234336034563</v>
      </c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</row>
    <row r="125" spans="14:36">
      <c r="N125" s="4"/>
      <c r="O125" s="5">
        <v>585</v>
      </c>
      <c r="P125" s="9">
        <f ca="1"/>
        <v>0.59714621365095721</v>
      </c>
      <c r="Q125" s="9">
        <f ca="1"/>
        <v>0.79902690609607241</v>
      </c>
      <c r="R125" s="9">
        <f ca="1"/>
        <v>0.64006387729016667</v>
      </c>
      <c r="S125" s="9">
        <f ca="1"/>
        <v>0.55127090909884668</v>
      </c>
      <c r="T125" s="9">
        <f ca="1"/>
        <v>0.67414801407373381</v>
      </c>
      <c r="U125" s="9">
        <f ca="1"/>
        <v>0.68496345578033735</v>
      </c>
      <c r="V125" s="9">
        <f ca="1"/>
        <v>0.86718380759759583</v>
      </c>
      <c r="W125" s="9">
        <f ca="1"/>
        <v>0.85799723431960684</v>
      </c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</row>
    <row r="126" spans="14:36">
      <c r="N126" s="4"/>
      <c r="O126" s="5">
        <v>590</v>
      </c>
      <c r="P126" s="9">
        <f ca="1"/>
        <v>0.59047079453180928</v>
      </c>
      <c r="Q126" s="9">
        <f ca="1"/>
        <v>0.79920047918041015</v>
      </c>
      <c r="R126" s="9">
        <f ca="1"/>
        <v>0.63956361748808754</v>
      </c>
      <c r="S126" s="9">
        <f ca="1"/>
        <v>0.5377941734557572</v>
      </c>
      <c r="T126" s="9">
        <f ca="1"/>
        <v>0.66778773950188752</v>
      </c>
      <c r="U126" s="9">
        <f ca="1"/>
        <v>0.68613826497512487</v>
      </c>
      <c r="V126" s="9">
        <f ca="1"/>
        <v>0.87052208180964841</v>
      </c>
      <c r="W126" s="9">
        <f ca="1"/>
        <v>0.86104917895990374</v>
      </c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</row>
    <row r="127" spans="14:36">
      <c r="N127" s="4"/>
      <c r="O127" s="5">
        <v>595</v>
      </c>
      <c r="P127" s="9">
        <f ca="1"/>
        <v>0.58428447440557518</v>
      </c>
      <c r="Q127" s="9">
        <f ca="1"/>
        <v>0.79966348851796065</v>
      </c>
      <c r="R127" s="9">
        <f ca="1"/>
        <v>0.63931984206814763</v>
      </c>
      <c r="S127" s="9">
        <f ca="1"/>
        <v>0.52417731233596798</v>
      </c>
      <c r="T127" s="9">
        <f ca="1"/>
        <v>0.66181111060561804</v>
      </c>
      <c r="U127" s="9">
        <f ca="1"/>
        <v>0.68714243918841056</v>
      </c>
      <c r="V127" s="9">
        <f ca="1"/>
        <v>0.87245076552388157</v>
      </c>
      <c r="W127" s="9">
        <f ca="1"/>
        <v>0.8631213913266802</v>
      </c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</row>
    <row r="128" spans="14:36">
      <c r="N128" s="4"/>
      <c r="O128" s="5">
        <v>600</v>
      </c>
      <c r="P128" s="9">
        <f ca="1"/>
        <v>0.57871050282286929</v>
      </c>
      <c r="Q128" s="9">
        <f ca="1"/>
        <v>0.79937535164721663</v>
      </c>
      <c r="R128" s="9">
        <f ca="1"/>
        <v>0.64087735923278921</v>
      </c>
      <c r="S128" s="9">
        <f ca="1"/>
        <v>0.51171641272538881</v>
      </c>
      <c r="T128" s="9">
        <f ca="1"/>
        <v>0.65732865660449069</v>
      </c>
      <c r="U128" s="9">
        <f ca="1"/>
        <v>0.68880689042869314</v>
      </c>
      <c r="V128" s="9">
        <f ca="1"/>
        <v>0.87516069205524116</v>
      </c>
      <c r="W128" s="9">
        <f ca="1"/>
        <v>0.86548005971444841</v>
      </c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</row>
    <row r="129" spans="14:36">
      <c r="N129" s="4"/>
      <c r="O129" s="5">
        <v>605</v>
      </c>
      <c r="P129" s="9">
        <f ca="1"/>
        <v>0.57117134162373451</v>
      </c>
      <c r="Q129" s="9">
        <f ca="1"/>
        <v>0.79969137912809718</v>
      </c>
      <c r="R129" s="9">
        <f ca="1"/>
        <v>0.63703309545377207</v>
      </c>
      <c r="S129" s="9">
        <f ca="1"/>
        <v>0.4992695861740491</v>
      </c>
      <c r="T129" s="9">
        <f ca="1"/>
        <v>0.65257954819291863</v>
      </c>
      <c r="U129" s="9">
        <f ca="1"/>
        <v>0.69065551980915529</v>
      </c>
      <c r="V129" s="9">
        <f ca="1"/>
        <v>0.87749499335580761</v>
      </c>
      <c r="W129" s="9">
        <f ca="1"/>
        <v>0.86835890850918063</v>
      </c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</row>
    <row r="130" spans="14:36">
      <c r="N130" s="4"/>
      <c r="O130" s="5">
        <v>610</v>
      </c>
      <c r="P130" s="9">
        <f ca="1"/>
        <v>0.5640944197109139</v>
      </c>
      <c r="Q130" s="9">
        <f ca="1"/>
        <v>0.79966682216788576</v>
      </c>
      <c r="R130" s="9">
        <f ca="1"/>
        <v>0.63607185693879287</v>
      </c>
      <c r="S130" s="9">
        <f ca="1"/>
        <v>0.48787279326170441</v>
      </c>
      <c r="T130" s="9">
        <f ca="1"/>
        <v>0.64892674495593838</v>
      </c>
      <c r="U130" s="9">
        <f ca="1"/>
        <v>0.69268058985224845</v>
      </c>
      <c r="V130" s="9">
        <f ca="1"/>
        <v>0.88043845003344601</v>
      </c>
      <c r="W130" s="9">
        <f ca="1"/>
        <v>0.87095433619532348</v>
      </c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</row>
    <row r="131" spans="14:36">
      <c r="N131" s="4"/>
      <c r="O131" s="5">
        <v>615</v>
      </c>
      <c r="P131" s="9">
        <f ca="1"/>
        <v>0.55691979820001136</v>
      </c>
      <c r="Q131" s="9">
        <f ca="1"/>
        <v>0.79836201274151308</v>
      </c>
      <c r="R131" s="9">
        <f ca="1"/>
        <v>0.63538098882346383</v>
      </c>
      <c r="S131" s="9">
        <f ca="1"/>
        <v>0.47791934285479487</v>
      </c>
      <c r="T131" s="9">
        <f ca="1"/>
        <v>0.64531768075505236</v>
      </c>
      <c r="U131" s="9">
        <f ca="1"/>
        <v>0.69481951335511194</v>
      </c>
      <c r="V131" s="9">
        <f ca="1"/>
        <v>0.88339179533373058</v>
      </c>
      <c r="W131" s="9">
        <f ca="1"/>
        <v>0.87364434932903579</v>
      </c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</row>
    <row r="132" spans="14:36">
      <c r="N132" s="4"/>
      <c r="O132" s="5">
        <v>620</v>
      </c>
      <c r="P132" s="9">
        <f ca="1"/>
        <v>0.54998778968374962</v>
      </c>
      <c r="Q132" s="9">
        <f ca="1"/>
        <v>0.79740869825081573</v>
      </c>
      <c r="R132" s="9">
        <f ca="1"/>
        <v>0.63331318728295083</v>
      </c>
      <c r="S132" s="9">
        <f ca="1"/>
        <v>0.46918108505706452</v>
      </c>
      <c r="T132" s="9">
        <f ca="1"/>
        <v>0.64221019329740603</v>
      </c>
      <c r="U132" s="9">
        <f ca="1"/>
        <v>0.69695557163851451</v>
      </c>
      <c r="V132" s="9">
        <f ca="1"/>
        <v>0.885267676007922</v>
      </c>
      <c r="W132" s="9">
        <f ca="1"/>
        <v>0.87506044244322323</v>
      </c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</row>
    <row r="133" spans="14:36">
      <c r="N133" s="4"/>
      <c r="O133" s="5">
        <v>625</v>
      </c>
      <c r="P133" s="9">
        <f ca="1"/>
        <v>0.54603726677358611</v>
      </c>
      <c r="Q133" s="9">
        <f ca="1"/>
        <v>0.79830783171081476</v>
      </c>
      <c r="R133" s="9">
        <f ca="1"/>
        <v>0.63411241087476122</v>
      </c>
      <c r="S133" s="9">
        <f ca="1"/>
        <v>0.46272045433202469</v>
      </c>
      <c r="T133" s="9">
        <f ca="1"/>
        <v>0.64112876772188521</v>
      </c>
      <c r="U133" s="9">
        <f ca="1"/>
        <v>0.70029813845469469</v>
      </c>
      <c r="V133" s="9">
        <f ca="1"/>
        <v>0.88766968606596452</v>
      </c>
      <c r="W133" s="9">
        <f ca="1"/>
        <v>0.87746614295158176</v>
      </c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</row>
    <row r="134" spans="14:36">
      <c r="N134" s="4"/>
      <c r="O134" s="5">
        <v>630</v>
      </c>
      <c r="P134" s="9">
        <f ca="1"/>
        <v>0.54340325259112698</v>
      </c>
      <c r="Q134" s="9">
        <f ca="1"/>
        <v>0.79994684365673596</v>
      </c>
      <c r="R134" s="9">
        <f ca="1"/>
        <v>0.63509899412433624</v>
      </c>
      <c r="S134" s="9">
        <f ca="1"/>
        <v>0.45762640630851625</v>
      </c>
      <c r="T134" s="9">
        <f ca="1"/>
        <v>0.64084380445015543</v>
      </c>
      <c r="U134" s="9">
        <f ca="1"/>
        <v>0.70373701686205348</v>
      </c>
      <c r="V134" s="9">
        <f ca="1"/>
        <v>0.89038347904259207</v>
      </c>
      <c r="W134" s="9">
        <f ca="1"/>
        <v>0.88013303070414395</v>
      </c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</row>
    <row r="135" spans="14:36">
      <c r="N135" s="4"/>
      <c r="O135" s="5">
        <v>635</v>
      </c>
      <c r="P135" s="9">
        <f ca="1"/>
        <v>0.54454528987438855</v>
      </c>
      <c r="Q135" s="9">
        <f ca="1"/>
        <v>0.80306625161327361</v>
      </c>
      <c r="R135" s="9">
        <f ca="1"/>
        <v>0.63809913955757758</v>
      </c>
      <c r="S135" s="9">
        <f ca="1"/>
        <v>0.45408263149124478</v>
      </c>
      <c r="T135" s="9">
        <f ca="1"/>
        <v>0.64262641492635686</v>
      </c>
      <c r="U135" s="9">
        <f ca="1"/>
        <v>0.70764623945252558</v>
      </c>
      <c r="V135" s="9">
        <f ca="1"/>
        <v>0.8928720343340234</v>
      </c>
      <c r="W135" s="9">
        <f ca="1"/>
        <v>0.88196069156415668</v>
      </c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</row>
    <row r="136" spans="14:36">
      <c r="N136" s="4"/>
      <c r="O136" s="5">
        <v>640</v>
      </c>
      <c r="P136" s="9">
        <f ca="1"/>
        <v>0.54929804432725748</v>
      </c>
      <c r="Q136" s="9">
        <f ca="1"/>
        <v>0.80672586306045047</v>
      </c>
      <c r="R136" s="9">
        <f ca="1"/>
        <v>0.64367036916418996</v>
      </c>
      <c r="S136" s="9">
        <f ca="1"/>
        <v>0.45150386942019888</v>
      </c>
      <c r="T136" s="9">
        <f ca="1"/>
        <v>0.64497090335304197</v>
      </c>
      <c r="U136" s="9">
        <f ca="1"/>
        <v>0.71136557923388988</v>
      </c>
      <c r="V136" s="9">
        <f ca="1"/>
        <v>0.89397037175252858</v>
      </c>
      <c r="W136" s="9">
        <f ca="1"/>
        <v>0.8838881813350119</v>
      </c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</row>
    <row r="137" spans="14:36">
      <c r="N137" s="4"/>
      <c r="O137" s="5">
        <v>645</v>
      </c>
      <c r="P137" s="9">
        <f ca="1"/>
        <v>0.55909054886713416</v>
      </c>
      <c r="Q137" s="9">
        <f ca="1"/>
        <v>0.8125333209011073</v>
      </c>
      <c r="R137" s="9">
        <f ca="1"/>
        <v>0.65112060828992091</v>
      </c>
      <c r="S137" s="9">
        <f ca="1"/>
        <v>0.45177697661152583</v>
      </c>
      <c r="T137" s="9">
        <f ca="1"/>
        <v>0.65035515155198187</v>
      </c>
      <c r="U137" s="9">
        <f ca="1"/>
        <v>0.71693289952729311</v>
      </c>
      <c r="V137" s="9">
        <f ca="1"/>
        <v>0.89679431748624272</v>
      </c>
      <c r="W137" s="9">
        <f ca="1"/>
        <v>0.88568091240866775</v>
      </c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</row>
    <row r="138" spans="14:36">
      <c r="N138" s="4"/>
      <c r="O138" s="5">
        <v>650</v>
      </c>
      <c r="P138" s="9">
        <f ca="1"/>
        <v>0.57098597868228307</v>
      </c>
      <c r="Q138" s="9">
        <f ca="1"/>
        <v>0.8180341065811022</v>
      </c>
      <c r="R138" s="9">
        <f ca="1"/>
        <v>0.65820163656846709</v>
      </c>
      <c r="S138" s="9">
        <f ca="1"/>
        <v>0.45388704966390664</v>
      </c>
      <c r="T138" s="9">
        <f ca="1"/>
        <v>0.65674339984905772</v>
      </c>
      <c r="U138" s="9">
        <f ca="1"/>
        <v>0.72268967776638893</v>
      </c>
      <c r="V138" s="9">
        <f ca="1"/>
        <v>0.89872318831472031</v>
      </c>
      <c r="W138" s="9">
        <f ca="1"/>
        <v>0.88745373410256656</v>
      </c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</row>
    <row r="139" spans="14:36">
      <c r="N139" s="4"/>
      <c r="O139" s="5">
        <v>655</v>
      </c>
      <c r="P139" s="9">
        <f ca="1"/>
        <v>0.58445674791909963</v>
      </c>
      <c r="Q139" s="9">
        <f ca="1"/>
        <v>0.82328778121648416</v>
      </c>
      <c r="R139" s="9">
        <f ca="1"/>
        <v>0.6676480789077891</v>
      </c>
      <c r="S139" s="9">
        <f ca="1"/>
        <v>0.45881893183128597</v>
      </c>
      <c r="T139" s="9">
        <f ca="1"/>
        <v>0.66521495005404196</v>
      </c>
      <c r="U139" s="9">
        <f ca="1"/>
        <v>0.72909189382850637</v>
      </c>
      <c r="V139" s="9">
        <f ca="1"/>
        <v>0.90160280312111984</v>
      </c>
      <c r="W139" s="9">
        <f ca="1"/>
        <v>0.89026302044610561</v>
      </c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</row>
    <row r="140" spans="14:36">
      <c r="N140" s="4"/>
      <c r="O140" s="5">
        <v>660</v>
      </c>
      <c r="P140" s="9">
        <f ca="1"/>
        <v>0.60043763888390389</v>
      </c>
      <c r="Q140" s="9">
        <f ca="1"/>
        <v>0.82960552119594</v>
      </c>
      <c r="R140" s="9">
        <f ca="1"/>
        <v>0.6729891855786877</v>
      </c>
      <c r="S140" s="9">
        <f ca="1"/>
        <v>0.46635493805258632</v>
      </c>
      <c r="T140" s="9">
        <f ca="1"/>
        <v>0.67495643493955004</v>
      </c>
      <c r="U140" s="9">
        <f ca="1"/>
        <v>0.73653143115468722</v>
      </c>
      <c r="V140" s="9">
        <f ca="1"/>
        <v>0.90355986562704227</v>
      </c>
      <c r="W140" s="9">
        <f ca="1"/>
        <v>0.89168989655135</v>
      </c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</row>
    <row r="141" spans="14:36">
      <c r="N141" s="4"/>
      <c r="O141" s="5">
        <v>665</v>
      </c>
      <c r="P141" s="9">
        <f ca="1"/>
        <v>0.61717748107732229</v>
      </c>
      <c r="Q141" s="9">
        <f ca="1"/>
        <v>0.83410317357320984</v>
      </c>
      <c r="R141" s="9">
        <f ca="1"/>
        <v>0.68282008106059633</v>
      </c>
      <c r="S141" s="9">
        <f ca="1"/>
        <v>0.47586075904004199</v>
      </c>
      <c r="T141" s="9">
        <f ca="1"/>
        <v>0.68560469979808569</v>
      </c>
      <c r="U141" s="9">
        <f ca="1"/>
        <v>0.74421697480843507</v>
      </c>
      <c r="V141" s="9">
        <f ca="1"/>
        <v>0.90552008101911141</v>
      </c>
      <c r="W141" s="9">
        <f ca="1"/>
        <v>0.8939173240430458</v>
      </c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</row>
    <row r="142" spans="14:36">
      <c r="N142" s="4"/>
      <c r="O142" s="5">
        <v>670</v>
      </c>
      <c r="P142" s="9">
        <f ca="1"/>
        <v>0.63484006084994216</v>
      </c>
      <c r="Q142" s="9">
        <f ca="1"/>
        <v>0.83877008606291492</v>
      </c>
      <c r="R142" s="9">
        <f ca="1"/>
        <v>0.68777710981783857</v>
      </c>
      <c r="S142" s="9">
        <f ca="1"/>
        <v>0.49005449455598199</v>
      </c>
      <c r="T142" s="9">
        <f ca="1"/>
        <v>0.69753413276297505</v>
      </c>
      <c r="U142" s="9">
        <f ca="1"/>
        <v>0.7522423871785181</v>
      </c>
      <c r="V142" s="9">
        <f ca="1"/>
        <v>0.90767515003792698</v>
      </c>
      <c r="W142" s="9">
        <f ca="1"/>
        <v>0.89446037982525006</v>
      </c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</row>
    <row r="143" spans="14:36">
      <c r="N143" s="4"/>
      <c r="O143" s="5">
        <v>675</v>
      </c>
      <c r="P143" s="9">
        <f ca="1"/>
        <v>0.65417426180181371</v>
      </c>
      <c r="Q143" s="9">
        <f ca="1"/>
        <v>0.84359914052477003</v>
      </c>
      <c r="R143" s="9">
        <f ca="1"/>
        <v>0.69559193202427561</v>
      </c>
      <c r="S143" s="9">
        <f ca="1"/>
        <v>0.5091809014438069</v>
      </c>
      <c r="T143" s="9">
        <f ca="1"/>
        <v>0.71202301412268632</v>
      </c>
      <c r="U143" s="9">
        <f ca="1"/>
        <v>0.76052105485346799</v>
      </c>
      <c r="V143" s="9">
        <f ca="1"/>
        <v>0.90980040839102472</v>
      </c>
      <c r="W143" s="9">
        <f ca="1"/>
        <v>0.89743470987652174</v>
      </c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</row>
    <row r="144" spans="14:36">
      <c r="N144" s="4"/>
      <c r="O144" s="5">
        <v>680</v>
      </c>
      <c r="P144" s="9">
        <f ca="1"/>
        <v>0.6739027563557396</v>
      </c>
      <c r="Q144" s="9">
        <f ca="1"/>
        <v>0.84815121064424515</v>
      </c>
      <c r="R144" s="9">
        <f ca="1"/>
        <v>0.70124805872132634</v>
      </c>
      <c r="S144" s="9">
        <f ca="1"/>
        <v>0.53535967113436966</v>
      </c>
      <c r="T144" s="9">
        <f ca="1"/>
        <v>0.72602265357961637</v>
      </c>
      <c r="U144" s="9">
        <f ca="1"/>
        <v>0.76896631322026754</v>
      </c>
      <c r="V144" s="9">
        <f ca="1"/>
        <v>0.91209906596956125</v>
      </c>
      <c r="W144" s="9">
        <f ca="1"/>
        <v>0.89818471724443083</v>
      </c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</row>
    <row r="145" spans="14:36">
      <c r="N145" s="4"/>
      <c r="O145" s="5">
        <v>685</v>
      </c>
      <c r="P145" s="9">
        <f ca="1"/>
        <v>0.69262046278029898</v>
      </c>
      <c r="Q145" s="9">
        <f ca="1"/>
        <v>0.85223435845724094</v>
      </c>
      <c r="R145" s="9">
        <f ca="1"/>
        <v>0.70929014201487661</v>
      </c>
      <c r="S145" s="9">
        <f ca="1"/>
        <v>0.56594843224122904</v>
      </c>
      <c r="T145" s="9">
        <f ca="1"/>
        <v>0.74142181685475028</v>
      </c>
      <c r="U145" s="9">
        <f ca="1"/>
        <v>0.7769058286381324</v>
      </c>
      <c r="V145" s="9">
        <f ca="1"/>
        <v>0.91400260100372543</v>
      </c>
      <c r="W145" s="9">
        <f ca="1"/>
        <v>0.89974540545870685</v>
      </c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</row>
    <row r="146" spans="14:36">
      <c r="N146" s="4"/>
      <c r="O146" s="5">
        <v>690</v>
      </c>
      <c r="P146" s="9">
        <f ca="1"/>
        <v>0.70959823713328829</v>
      </c>
      <c r="Q146" s="9">
        <f ca="1"/>
        <v>0.85681026978973118</v>
      </c>
      <c r="R146" s="9">
        <f ca="1"/>
        <v>0.71486842047169352</v>
      </c>
      <c r="S146" s="9">
        <f ca="1"/>
        <v>0.59986932090719092</v>
      </c>
      <c r="T146" s="9">
        <f ca="1"/>
        <v>0.75663107501703053</v>
      </c>
      <c r="U146" s="9">
        <f ca="1"/>
        <v>0.78488886100232147</v>
      </c>
      <c r="V146" s="9">
        <f ca="1"/>
        <v>0.91532492423061718</v>
      </c>
      <c r="W146" s="9">
        <f ca="1"/>
        <v>0.90080678557025329</v>
      </c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</row>
    <row r="147" spans="14:36">
      <c r="N147" s="4"/>
      <c r="O147" s="5">
        <v>695</v>
      </c>
      <c r="P147" s="9">
        <f ca="1"/>
        <v>0.72684001002337895</v>
      </c>
      <c r="Q147" s="9">
        <f ca="1"/>
        <v>0.86184972514352964</v>
      </c>
      <c r="R147" s="9">
        <f ca="1"/>
        <v>0.72098159479612067</v>
      </c>
      <c r="S147" s="9">
        <f ca="1"/>
        <v>0.63450383404338773</v>
      </c>
      <c r="T147" s="9">
        <f ca="1"/>
        <v>0.77233094362532917</v>
      </c>
      <c r="U147" s="9">
        <f ca="1"/>
        <v>0.79236477937494476</v>
      </c>
      <c r="V147" s="9">
        <f ca="1"/>
        <v>0.9174653867722159</v>
      </c>
      <c r="W147" s="9">
        <f ca="1"/>
        <v>0.90217888201394214</v>
      </c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</row>
    <row r="148" spans="14:36">
      <c r="N148" s="4"/>
      <c r="O148" s="5">
        <v>700</v>
      </c>
      <c r="P148" s="9">
        <f ca="1"/>
        <v>0.74284762108841929</v>
      </c>
      <c r="Q148" s="9">
        <f ca="1"/>
        <v>0.8675562751201078</v>
      </c>
      <c r="R148" s="9">
        <f ca="1"/>
        <v>0.72704745524950898</v>
      </c>
      <c r="S148" s="9">
        <f ca="1"/>
        <v>0.66686886699043113</v>
      </c>
      <c r="T148" s="9">
        <f ca="1"/>
        <v>0.78738653463494068</v>
      </c>
      <c r="U148" s="9">
        <f ca="1"/>
        <v>0.79990660718117879</v>
      </c>
      <c r="V148" s="9">
        <f ca="1"/>
        <v>0.91891437439146417</v>
      </c>
      <c r="W148" s="9">
        <f ca="1"/>
        <v>0.90373695212864047</v>
      </c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</row>
    <row r="149" spans="14:36">
      <c r="N149" s="4"/>
      <c r="O149" s="5">
        <v>705</v>
      </c>
      <c r="P149" s="9">
        <f ca="1"/>
        <v>0.7588633916158023</v>
      </c>
      <c r="Q149" s="9">
        <f ca="1"/>
        <v>0.87260234620622423</v>
      </c>
      <c r="R149" s="9">
        <f ca="1"/>
        <v>0.73564262124097479</v>
      </c>
      <c r="S149" s="9">
        <f ca="1"/>
        <v>0.69658957801683841</v>
      </c>
      <c r="T149" s="9">
        <f ca="1"/>
        <v>0.80044538392736964</v>
      </c>
      <c r="U149" s="9">
        <f ca="1"/>
        <v>0.80636411481568304</v>
      </c>
      <c r="V149" s="9">
        <f ca="1"/>
        <v>0.92047661728629437</v>
      </c>
      <c r="W149" s="9">
        <f ca="1"/>
        <v>0.90487796298931544</v>
      </c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</row>
    <row r="150" spans="14:36">
      <c r="N150" s="4"/>
      <c r="O150" s="5">
        <v>710</v>
      </c>
      <c r="P150" s="9">
        <f ca="1"/>
        <v>0.77575558385451349</v>
      </c>
      <c r="Q150" s="9">
        <f ca="1"/>
        <v>0.87873405469071808</v>
      </c>
      <c r="R150" s="9">
        <f ca="1"/>
        <v>0.74301761984792325</v>
      </c>
      <c r="S150" s="9">
        <f ca="1"/>
        <v>0.72399765210491163</v>
      </c>
      <c r="T150" s="9">
        <f ca="1"/>
        <v>0.81353712394258659</v>
      </c>
      <c r="U150" s="9">
        <f ca="1"/>
        <v>0.81252396755419309</v>
      </c>
      <c r="V150" s="9">
        <f ca="1"/>
        <v>0.92149418801217131</v>
      </c>
      <c r="W150" s="9">
        <f ca="1"/>
        <v>0.90631842885621861</v>
      </c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</row>
    <row r="151" spans="14:36">
      <c r="N151" s="4"/>
      <c r="O151" s="5">
        <v>715</v>
      </c>
      <c r="P151" s="9">
        <f ca="1"/>
        <v>0.79337525626175476</v>
      </c>
      <c r="Q151" s="9">
        <f ca="1"/>
        <v>0.88462984210155993</v>
      </c>
      <c r="R151" s="9">
        <f ca="1"/>
        <v>0.7511311188895482</v>
      </c>
      <c r="S151" s="9">
        <f ca="1"/>
        <v>0.74911993752965511</v>
      </c>
      <c r="T151" s="9">
        <f ca="1"/>
        <v>0.82579171147754871</v>
      </c>
      <c r="U151" s="9">
        <f ca="1"/>
        <v>0.8176136058040111</v>
      </c>
      <c r="V151" s="9">
        <f ca="1"/>
        <v>0.92265123135072158</v>
      </c>
      <c r="W151" s="9">
        <f ca="1"/>
        <v>0.90587448993298547</v>
      </c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</row>
    <row r="152" spans="14:36">
      <c r="N152" s="4"/>
      <c r="O152" s="5">
        <v>720</v>
      </c>
      <c r="P152" s="9">
        <f ca="1"/>
        <v>0.81286162045192978</v>
      </c>
      <c r="Q152" s="9">
        <f ca="1"/>
        <v>0.89239620798563168</v>
      </c>
      <c r="R152" s="9">
        <f ca="1"/>
        <v>0.76277387737870517</v>
      </c>
      <c r="S152" s="9">
        <f ca="1"/>
        <v>0.77311867453832361</v>
      </c>
      <c r="T152" s="9">
        <f ca="1"/>
        <v>0.83794915843438023</v>
      </c>
      <c r="U152" s="9">
        <f ca="1"/>
        <v>0.82365035329397851</v>
      </c>
      <c r="V152" s="9">
        <f ca="1"/>
        <v>0.92463696176433208</v>
      </c>
      <c r="W152" s="9">
        <f ca="1"/>
        <v>0.9083860509642826</v>
      </c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</row>
    <row r="153" spans="14:36">
      <c r="N153" s="4"/>
      <c r="O153" s="5">
        <v>725</v>
      </c>
      <c r="P153" s="9">
        <f ca="1"/>
        <v>0.83393483886132957</v>
      </c>
      <c r="Q153" s="9">
        <f ca="1"/>
        <v>0.90088772887591317</v>
      </c>
      <c r="R153" s="9">
        <f ca="1"/>
        <v>0.77376866430250635</v>
      </c>
      <c r="S153" s="9">
        <f ca="1"/>
        <v>0.79715078948167672</v>
      </c>
      <c r="T153" s="9">
        <f ca="1"/>
        <v>0.8492274833657959</v>
      </c>
      <c r="U153" s="9">
        <f ca="1"/>
        <v>0.82883721496045537</v>
      </c>
      <c r="V153" s="9">
        <f ca="1"/>
        <v>0.92606270460787776</v>
      </c>
      <c r="W153" s="9">
        <f ca="1"/>
        <v>0.90860396344499283</v>
      </c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</row>
    <row r="154" spans="14:36">
      <c r="N154" s="4"/>
      <c r="O154" s="5">
        <v>730</v>
      </c>
      <c r="P154" s="9">
        <f ca="1"/>
        <v>0.85254675531882973</v>
      </c>
      <c r="Q154" s="9">
        <f ca="1"/>
        <v>0.90854632996901019</v>
      </c>
      <c r="R154" s="9">
        <f ca="1"/>
        <v>0.78447180543345973</v>
      </c>
      <c r="S154" s="9">
        <f ca="1"/>
        <v>0.81861489354963735</v>
      </c>
      <c r="T154" s="9">
        <f ca="1"/>
        <v>0.85924052976375398</v>
      </c>
      <c r="U154" s="9">
        <f ca="1"/>
        <v>0.83235222445480173</v>
      </c>
      <c r="V154" s="9">
        <f ca="1"/>
        <v>0.92609882477545236</v>
      </c>
      <c r="W154" s="9">
        <f ca="1"/>
        <v>0.90843397274265036</v>
      </c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</row>
    <row r="155" spans="14:36">
      <c r="N155" s="4"/>
      <c r="O155" s="5">
        <v>735</v>
      </c>
      <c r="P155" s="9">
        <f ca="1"/>
        <v>0.87228214398526949</v>
      </c>
      <c r="Q155" s="9">
        <f ca="1"/>
        <v>0.9168406718884835</v>
      </c>
      <c r="R155" s="9">
        <f ca="1"/>
        <v>0.79759376938414239</v>
      </c>
      <c r="S155" s="9">
        <f ca="1"/>
        <v>0.83887857628294293</v>
      </c>
      <c r="T155" s="9">
        <f ca="1"/>
        <v>0.86825823897701859</v>
      </c>
      <c r="U155" s="9">
        <f ca="1"/>
        <v>0.83606952890890984</v>
      </c>
      <c r="V155" s="9">
        <f ca="1"/>
        <v>0.92785417907632928</v>
      </c>
      <c r="W155" s="9">
        <f ca="1"/>
        <v>0.90948247876371358</v>
      </c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</row>
    <row r="156" spans="14:36">
      <c r="N156" s="4"/>
      <c r="O156" s="5">
        <v>740</v>
      </c>
      <c r="P156" s="9">
        <f ca="1"/>
        <v>0.891468883120491</v>
      </c>
      <c r="Q156" s="9">
        <f ca="1"/>
        <v>0.92555844852277747</v>
      </c>
      <c r="R156" s="9">
        <f ca="1"/>
        <v>0.81051815200496469</v>
      </c>
      <c r="S156" s="9">
        <f ca="1"/>
        <v>0.85821425595072665</v>
      </c>
      <c r="T156" s="9">
        <f ca="1"/>
        <v>0.87675404236966847</v>
      </c>
      <c r="U156" s="9">
        <f ca="1"/>
        <v>0.84109509332445498</v>
      </c>
      <c r="V156" s="9">
        <f ca="1"/>
        <v>0.92906129304912199</v>
      </c>
      <c r="W156" s="9">
        <f ca="1"/>
        <v>0.91045880393994361</v>
      </c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</row>
    <row r="157" spans="14:36">
      <c r="N157" s="4"/>
      <c r="O157" s="5">
        <v>745</v>
      </c>
      <c r="P157" s="9">
        <f ca="1"/>
        <v>0.9085171210455576</v>
      </c>
      <c r="Q157" s="9">
        <f ca="1"/>
        <v>0.93407475822167663</v>
      </c>
      <c r="R157" s="9">
        <f ca="1"/>
        <v>0.82153112206240175</v>
      </c>
      <c r="S157" s="9">
        <f ca="1"/>
        <v>0.875576615918773</v>
      </c>
      <c r="T157" s="9">
        <f ca="1"/>
        <v>0.88473754764958024</v>
      </c>
      <c r="U157" s="9">
        <f ca="1"/>
        <v>0.84363061869583722</v>
      </c>
      <c r="V157" s="9">
        <f ca="1"/>
        <v>0.93040150761887386</v>
      </c>
      <c r="W157" s="9">
        <f ca="1"/>
        <v>0.91203242526912776</v>
      </c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</row>
    <row r="158" spans="14:36">
      <c r="N158" s="4"/>
      <c r="O158" s="5">
        <v>750</v>
      </c>
      <c r="P158" s="9">
        <f ca="1"/>
        <v>0.92507266993102755</v>
      </c>
      <c r="Q158" s="9">
        <f ca="1"/>
        <v>0.94172191553885076</v>
      </c>
      <c r="R158" s="9">
        <f ca="1"/>
        <v>0.83268051773716401</v>
      </c>
      <c r="S158" s="9">
        <f ca="1"/>
        <v>0.89098531347891008</v>
      </c>
      <c r="T158" s="9">
        <f ca="1"/>
        <v>0.89155268878558991</v>
      </c>
      <c r="U158" s="9">
        <f ca="1"/>
        <v>0.84751957424123492</v>
      </c>
      <c r="V158" s="9">
        <f ca="1"/>
        <v>0.93188124926940463</v>
      </c>
      <c r="W158" s="9">
        <f ca="1"/>
        <v>0.91359436256934412</v>
      </c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</row>
    <row r="159" spans="14:36">
      <c r="N159" s="4"/>
      <c r="O159" s="5">
        <v>755</v>
      </c>
      <c r="P159" s="9">
        <f ca="1"/>
        <v>0.93760722753250614</v>
      </c>
      <c r="Q159" s="9">
        <f ca="1"/>
        <v>0.94758761099566113</v>
      </c>
      <c r="R159" s="9">
        <f ca="1"/>
        <v>0.84141743768399702</v>
      </c>
      <c r="S159" s="9">
        <f ca="1"/>
        <v>0.90240717182203345</v>
      </c>
      <c r="T159" s="9">
        <f ca="1"/>
        <v>0.89711898521870825</v>
      </c>
      <c r="U159" s="9">
        <f ca="1"/>
        <v>0.84973443197872467</v>
      </c>
      <c r="V159" s="9">
        <f ca="1"/>
        <v>0.9326751808681879</v>
      </c>
      <c r="W159" s="9">
        <f ca="1"/>
        <v>0.91498183993531423</v>
      </c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</row>
    <row r="160" spans="14:36">
      <c r="N160" s="4"/>
      <c r="O160" s="5">
        <v>760</v>
      </c>
      <c r="P160" s="9">
        <f ca="1"/>
        <v>0.94924408363972723</v>
      </c>
      <c r="Q160" s="9">
        <f ca="1"/>
        <v>0.95361381683484792</v>
      </c>
      <c r="R160" s="9">
        <f ca="1"/>
        <v>0.85040748841560265</v>
      </c>
      <c r="S160" s="9">
        <f ca="1"/>
        <v>0.91327428457775961</v>
      </c>
      <c r="T160" s="9">
        <f ca="1"/>
        <v>0.90106660270697514</v>
      </c>
      <c r="U160" s="9">
        <f ca="1"/>
        <v>0.85312837891797366</v>
      </c>
      <c r="V160" s="9">
        <f ca="1"/>
        <v>0.9336965698957943</v>
      </c>
      <c r="W160" s="9">
        <f ca="1"/>
        <v>0.91434633770399598</v>
      </c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</row>
    <row r="161" spans="11:106">
      <c r="N161" s="4"/>
      <c r="O161" s="5">
        <v>765</v>
      </c>
      <c r="P161" s="9">
        <f ca="1"/>
        <v>0.95853907014533302</v>
      </c>
      <c r="Q161" s="9">
        <f ca="1"/>
        <v>0.9596844916275602</v>
      </c>
      <c r="R161" s="9">
        <f ca="1"/>
        <v>0.85609585391307497</v>
      </c>
      <c r="S161" s="9">
        <f ca="1"/>
        <v>0.92091500985959085</v>
      </c>
      <c r="T161" s="9">
        <f ca="1"/>
        <v>0.90546595962037124</v>
      </c>
      <c r="U161" s="9">
        <f ca="1"/>
        <v>0.85619550988600035</v>
      </c>
      <c r="V161" s="9">
        <f ca="1"/>
        <v>0.93490338150947427</v>
      </c>
      <c r="W161" s="9">
        <f ca="1"/>
        <v>0.91530072630192216</v>
      </c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</row>
    <row r="162" spans="11:106">
      <c r="N162" s="4"/>
      <c r="O162" s="5">
        <v>770</v>
      </c>
      <c r="P162" s="9">
        <f ca="1"/>
        <v>0.96647840694911757</v>
      </c>
      <c r="Q162" s="9">
        <f ca="1"/>
        <v>0.96241652931869937</v>
      </c>
      <c r="R162" s="9">
        <f ca="1"/>
        <v>0.86460780371647916</v>
      </c>
      <c r="S162" s="9">
        <f ca="1"/>
        <v>0.92872595761585475</v>
      </c>
      <c r="T162" s="9">
        <f ca="1"/>
        <v>0.90923673022371077</v>
      </c>
      <c r="U162" s="9">
        <f ca="1"/>
        <v>0.857171237889639</v>
      </c>
      <c r="V162" s="9">
        <f ca="1"/>
        <v>0.93576711409204372</v>
      </c>
      <c r="W162" s="9">
        <f ca="1"/>
        <v>0.91685813905213942</v>
      </c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</row>
    <row r="163" spans="11:106">
      <c r="N163" s="4"/>
      <c r="O163" s="5">
        <v>775</v>
      </c>
      <c r="P163" s="9">
        <f ca="1"/>
        <v>0.97218412081379779</v>
      </c>
      <c r="Q163" s="9">
        <f ca="1"/>
        <v>0.96543717314991029</v>
      </c>
      <c r="R163" s="9">
        <f ca="1"/>
        <v>0.86935347190967238</v>
      </c>
      <c r="S163" s="9">
        <f ca="1"/>
        <v>0.93400609529123835</v>
      </c>
      <c r="T163" s="9">
        <f ca="1"/>
        <v>0.91209441083580123</v>
      </c>
      <c r="U163" s="9">
        <f ca="1"/>
        <v>0.86172025785502926</v>
      </c>
      <c r="V163" s="9">
        <f ca="1"/>
        <v>0.93670845108598777</v>
      </c>
      <c r="W163" s="9">
        <f ca="1"/>
        <v>0.91646951239114549</v>
      </c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</row>
    <row r="164" spans="11:106">
      <c r="K164" s="2">
        <v>28.692407353555598</v>
      </c>
      <c r="N164" s="4"/>
      <c r="O164" s="5">
        <v>780</v>
      </c>
      <c r="P164" s="9">
        <f ca="1"/>
        <v>0.97595912286621589</v>
      </c>
      <c r="Q164" s="9">
        <f ca="1"/>
        <v>0.96756702661665583</v>
      </c>
      <c r="R164" s="9">
        <f ca="1"/>
        <v>0.87150079251554269</v>
      </c>
      <c r="S164" s="9">
        <f ca="1"/>
        <v>0.93738204152648297</v>
      </c>
      <c r="T164" s="9">
        <f ca="1"/>
        <v>0.91253840780037676</v>
      </c>
      <c r="U164" s="9">
        <f ca="1"/>
        <v>0.86272997346358304</v>
      </c>
      <c r="V164" s="9">
        <f ca="1"/>
        <v>0.93654805615070302</v>
      </c>
      <c r="W164" s="9">
        <f ca="1"/>
        <v>0.91688310955867958</v>
      </c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</row>
    <row r="165" spans="11:106">
      <c r="N165" s="4"/>
    </row>
    <row r="166" spans="11:106">
      <c r="K166" s="13">
        <v>3.2404541999999998</v>
      </c>
      <c r="L166" s="13">
        <v>-1.5371385</v>
      </c>
      <c r="M166" s="13">
        <v>-0.49853140000000001</v>
      </c>
      <c r="O166" s="5" t="s">
        <v>18</v>
      </c>
      <c r="P166" s="9" cm="1">
        <f t="array" aca="1" ref="P166" ca="1">MMULT(TRANSPOSE($J$2:$J$82),P$84:P$164)/P169</f>
        <v>0.6285527298173047</v>
      </c>
      <c r="Q166" s="9" cm="1">
        <f t="array" aca="1" ref="Q166" ca="1">MMULT(TRANSPOSE($J$2:$J$82),Q$84:Q$164)/Q169</f>
        <v>0.76522425666724903</v>
      </c>
      <c r="R166" s="9" cm="1">
        <f t="array" aca="1" ref="R166" ca="1">MMULT(TRANSPOSE($J$2:$J$82),R$84:R$164)/R169</f>
        <v>0.62487107597195291</v>
      </c>
      <c r="S166" s="9" cm="1">
        <f t="array" aca="1" ref="S166" ca="1">MMULT(TRANSPOSE($J$2:$J$82),S$84:S$164)/S169</f>
        <v>0.55498648530552563</v>
      </c>
      <c r="T166" s="9" cm="1">
        <f t="array" aca="1" ref="T166" ca="1">MMULT(TRANSPOSE($J$2:$J$82),T$84:T$164)/T169</f>
        <v>0.63846980777785434</v>
      </c>
      <c r="U166" s="9" cm="1">
        <f t="array" aca="1" ref="U166" ca="1">MMULT(TRANSPOSE($J$2:$J$82),U$84:U$164)/U169</f>
        <v>0.62132747094891927</v>
      </c>
      <c r="V166" s="9" cm="1">
        <f t="array" aca="1" ref="V166" ca="1">MMULT(TRANSPOSE($J$2:$J$82),V$84:V$164)/V169</f>
        <v>0.80362829770755373</v>
      </c>
      <c r="W166" s="9" cm="1">
        <f t="array" aca="1" ref="W166" ca="1">MMULT(TRANSPOSE($J$2:$J$82),W$84:W$164)/W169</f>
        <v>0.79612796659104035</v>
      </c>
      <c r="X166" s="9" t="e" cm="1">
        <f t="array" ref="X166">MMULT(TRANSPOSE($J$2:$J$82),X$84:X$164)/X169</f>
        <v>#VALUE!</v>
      </c>
      <c r="Y166" s="9" t="e" cm="1">
        <f t="array" ref="Y166">MMULT(TRANSPOSE($J$2:$J$82),Y$84:Y$164)/Y169</f>
        <v>#VALUE!</v>
      </c>
      <c r="Z166" s="9" t="e" cm="1">
        <f t="array" ref="Z166">MMULT(TRANSPOSE($J$2:$J$82),Z$84:Z$164)/Z169</f>
        <v>#VALUE!</v>
      </c>
      <c r="AA166" s="9" t="e" cm="1">
        <f t="array" ref="AA166">MMULT(TRANSPOSE($J$2:$J$82),AA$84:AA$164)/AA169</f>
        <v>#VALUE!</v>
      </c>
      <c r="AB166" s="9" t="e" cm="1">
        <f t="array" ref="AB166">MMULT(TRANSPOSE($J$2:$J$82),AB$84:AB$164)/AB169</f>
        <v>#VALUE!</v>
      </c>
      <c r="AC166" s="9" t="e" cm="1">
        <f t="array" ref="AC166">MMULT(TRANSPOSE($J$2:$J$82),AC$84:AC$164)/AC169</f>
        <v>#VALUE!</v>
      </c>
      <c r="AD166" s="9" t="e" cm="1">
        <f t="array" ref="AD166">MMULT(TRANSPOSE($J$2:$J$82),AD$84:AD$164)/AD169</f>
        <v>#VALUE!</v>
      </c>
      <c r="AE166" s="9" t="e" cm="1">
        <f t="array" ref="AE166">MMULT(TRANSPOSE($J$2:$J$82),AE$84:AE$164)/AE169</f>
        <v>#VALUE!</v>
      </c>
      <c r="AF166" s="9" t="e" cm="1">
        <f t="array" ref="AF166">MMULT(TRANSPOSE($J$2:$J$82),AF$84:AF$164)/AF169</f>
        <v>#VALUE!</v>
      </c>
      <c r="AG166" s="9" t="e" cm="1">
        <f t="array" ref="AG166">MMULT(TRANSPOSE($J$2:$J$82),AG$84:AG$164)/AG169</f>
        <v>#VALUE!</v>
      </c>
      <c r="AH166" s="9" t="e" cm="1">
        <f t="array" ref="AH166">MMULT(TRANSPOSE($J$2:$J$82),AH$84:AH$164)/AH169</f>
        <v>#VALUE!</v>
      </c>
      <c r="AI166" s="9" t="e" cm="1">
        <f t="array" ref="AI166">MMULT(TRANSPOSE($J$2:$J$82),AI$84:AI$164)/AI169</f>
        <v>#VALUE!</v>
      </c>
      <c r="AJ166" s="9" t="e" cm="1">
        <f t="array" ref="AJ166">MMULT(TRANSPOSE($J$2:$J$82),AJ$84:AJ$164)/AJ169</f>
        <v>#VALUE!</v>
      </c>
      <c r="AK166" s="9" t="e" cm="1">
        <f t="array" ref="AK166">MMULT(TRANSPOSE($J$2:$J$82),AK$84:AK$164)/AK169</f>
        <v>#VALUE!</v>
      </c>
      <c r="AL166" s="9" t="e" cm="1">
        <f t="array" ref="AL166">MMULT(TRANSPOSE($J$2:$J$82),AL$84:AL$164)/AL169</f>
        <v>#VALUE!</v>
      </c>
      <c r="AM166" s="9" t="e" cm="1">
        <f t="array" ref="AM166">MMULT(TRANSPOSE($J$2:$J$82),AM$84:AM$164)/AM169</f>
        <v>#VALUE!</v>
      </c>
      <c r="AN166" s="9" t="e" cm="1">
        <f t="array" ref="AN166">MMULT(TRANSPOSE($J$2:$J$82),AN$84:AN$164)/AN169</f>
        <v>#VALUE!</v>
      </c>
      <c r="AO166" s="9" t="e" cm="1">
        <f t="array" ref="AO166">MMULT(TRANSPOSE($J$2:$J$82),AO$84:AO$164)/AO169</f>
        <v>#VALUE!</v>
      </c>
      <c r="AP166" s="9" t="e" cm="1">
        <f t="array" ref="AP166">MMULT(TRANSPOSE($J$2:$J$82),AP$84:AP$164)/AP169</f>
        <v>#VALUE!</v>
      </c>
      <c r="AQ166" s="9" t="e" cm="1">
        <f t="array" ref="AQ166">MMULT(TRANSPOSE($J$2:$J$82),AQ$84:AQ$164)/AQ169</f>
        <v>#VALUE!</v>
      </c>
      <c r="AR166" s="9" t="e" cm="1">
        <f t="array" ref="AR166">MMULT(TRANSPOSE($J$2:$J$82),AR$84:AR$164)/AR169</f>
        <v>#VALUE!</v>
      </c>
      <c r="AS166" s="9" t="e" cm="1">
        <f t="array" ref="AS166">MMULT(TRANSPOSE($J$2:$J$82),AS$84:AS$164)/AS169</f>
        <v>#VALUE!</v>
      </c>
      <c r="AT166" s="9" t="e" cm="1">
        <f t="array" ref="AT166">MMULT(TRANSPOSE($J$2:$J$82),AT$84:AT$164)/AT169</f>
        <v>#VALUE!</v>
      </c>
      <c r="AU166" s="9" t="e" cm="1">
        <f t="array" ref="AU166">MMULT(TRANSPOSE($J$2:$J$82),AU$84:AU$164)/AU169</f>
        <v>#VALUE!</v>
      </c>
      <c r="AV166" s="9" t="e" cm="1">
        <f t="array" ref="AV166">MMULT(TRANSPOSE($J$2:$J$82),AV$84:AV$164)/AV169</f>
        <v>#VALUE!</v>
      </c>
      <c r="AW166" s="9" t="e" cm="1">
        <f t="array" ref="AW166">MMULT(TRANSPOSE($J$2:$J$82),AW$84:AW$164)/AW169</f>
        <v>#VALUE!</v>
      </c>
      <c r="AX166" s="9" t="e" cm="1">
        <f t="array" ref="AX166">MMULT(TRANSPOSE($J$2:$J$82),AX$84:AX$164)/AX169</f>
        <v>#VALUE!</v>
      </c>
      <c r="AY166" s="9" t="e" cm="1">
        <f t="array" ref="AY166">MMULT(TRANSPOSE($J$2:$J$82),AY$84:AY$164)/AY169</f>
        <v>#VALUE!</v>
      </c>
      <c r="AZ166" s="9" t="e" cm="1">
        <f t="array" ref="AZ166">MMULT(TRANSPOSE($J$2:$J$82),AZ$84:AZ$164)/AZ169</f>
        <v>#VALUE!</v>
      </c>
      <c r="BA166" s="9" t="e" cm="1">
        <f t="array" ref="BA166">MMULT(TRANSPOSE($J$2:$J$82),BA$84:BA$164)/BA169</f>
        <v>#VALUE!</v>
      </c>
      <c r="BB166" s="9" t="e" cm="1">
        <f t="array" ref="BB166">MMULT(TRANSPOSE($J$2:$J$82),BB$84:BB$164)/BB169</f>
        <v>#VALUE!</v>
      </c>
      <c r="BC166" s="9" t="e" cm="1">
        <f t="array" ref="BC166">MMULT(TRANSPOSE($J$2:$J$82),BC$84:BC$164)/BC169</f>
        <v>#VALUE!</v>
      </c>
      <c r="BD166" s="9" t="e" cm="1">
        <f t="array" ref="BD166">MMULT(TRANSPOSE($J$2:$J$82),BD$84:BD$164)/BD169</f>
        <v>#VALUE!</v>
      </c>
      <c r="BE166" s="9" t="e" cm="1">
        <f t="array" ref="BE166">MMULT(TRANSPOSE($J$2:$J$82),BE$84:BE$164)/BE169</f>
        <v>#VALUE!</v>
      </c>
      <c r="BF166" s="9" t="e" cm="1">
        <f t="array" ref="BF166">MMULT(TRANSPOSE($J$2:$J$82),BF$84:BF$164)/BF169</f>
        <v>#VALUE!</v>
      </c>
      <c r="BG166" s="9" t="e" cm="1">
        <f t="array" ref="BG166">MMULT(TRANSPOSE($J$2:$J$82),BG$84:BG$164)/BG169</f>
        <v>#VALUE!</v>
      </c>
      <c r="BH166" s="9" t="e" cm="1">
        <f t="array" ref="BH166">MMULT(TRANSPOSE($J$2:$J$82),BH$84:BH$164)/BH169</f>
        <v>#VALUE!</v>
      </c>
      <c r="BI166" s="9" t="e" cm="1">
        <f t="array" ref="BI166">MMULT(TRANSPOSE($J$2:$J$82),BI$84:BI$164)/BI169</f>
        <v>#VALUE!</v>
      </c>
      <c r="BJ166" s="9" t="e" cm="1">
        <f t="array" ref="BJ166">MMULT(TRANSPOSE($J$2:$J$82),BJ$84:BJ$164)/BJ169</f>
        <v>#VALUE!</v>
      </c>
      <c r="BK166" s="9" t="e" cm="1">
        <f t="array" ref="BK166">MMULT(TRANSPOSE($J$2:$J$82),BK$84:BK$164)/BK169</f>
        <v>#VALUE!</v>
      </c>
      <c r="BL166" s="9" t="e" cm="1">
        <f t="array" ref="BL166">MMULT(TRANSPOSE($J$2:$J$82),BL$84:BL$164)/BL169</f>
        <v>#VALUE!</v>
      </c>
      <c r="BM166" s="9" t="e" cm="1">
        <f t="array" ref="BM166">MMULT(TRANSPOSE($J$2:$J$82),BM$84:BM$164)/BM169</f>
        <v>#VALUE!</v>
      </c>
      <c r="BN166" s="9" t="e" cm="1">
        <f t="array" ref="BN166">MMULT(TRANSPOSE($J$2:$J$82),BN$84:BN$164)/BN169</f>
        <v>#VALUE!</v>
      </c>
      <c r="BO166" s="9" t="e" cm="1">
        <f t="array" ref="BO166">MMULT(TRANSPOSE($J$2:$J$82),BO$84:BO$164)/BO169</f>
        <v>#VALUE!</v>
      </c>
      <c r="BP166" s="9" t="e" cm="1">
        <f t="array" ref="BP166">MMULT(TRANSPOSE($J$2:$J$82),BP$84:BP$164)/BP169</f>
        <v>#VALUE!</v>
      </c>
      <c r="BQ166" s="9" t="e" cm="1">
        <f t="array" ref="BQ166">MMULT(TRANSPOSE($J$2:$J$82),BQ$84:BQ$164)/BQ169</f>
        <v>#VALUE!</v>
      </c>
      <c r="BR166" s="9" t="e" cm="1">
        <f t="array" ref="BR166">MMULT(TRANSPOSE($J$2:$J$82),BR$84:BR$164)/BR169</f>
        <v>#VALUE!</v>
      </c>
      <c r="BS166" s="9" t="e" cm="1">
        <f t="array" ref="BS166">MMULT(TRANSPOSE($J$2:$J$82),BS$84:BS$164)/BS169</f>
        <v>#VALUE!</v>
      </c>
      <c r="BT166" s="9" t="e" cm="1">
        <f t="array" ref="BT166">MMULT(TRANSPOSE($J$2:$J$82),BT$84:BT$164)/BT169</f>
        <v>#VALUE!</v>
      </c>
      <c r="BU166" s="9" t="e" cm="1">
        <f t="array" ref="BU166">MMULT(TRANSPOSE($J$2:$J$82),BU$84:BU$164)/BU169</f>
        <v>#VALUE!</v>
      </c>
      <c r="BV166" s="9" t="e" cm="1">
        <f t="array" ref="BV166">MMULT(TRANSPOSE($J$2:$J$82),BV$84:BV$164)/BV169</f>
        <v>#VALUE!</v>
      </c>
      <c r="BW166" s="9" t="e" cm="1">
        <f t="array" ref="BW166">MMULT(TRANSPOSE($J$2:$J$82),BW$84:BW$164)/BW169</f>
        <v>#VALUE!</v>
      </c>
      <c r="BX166" s="9" t="e" cm="1">
        <f t="array" ref="BX166">MMULT(TRANSPOSE($J$2:$J$82),BX$84:BX$164)/BX169</f>
        <v>#VALUE!</v>
      </c>
      <c r="BY166" s="9" t="e" cm="1">
        <f t="array" ref="BY166">MMULT(TRANSPOSE($J$2:$J$82),BY$84:BY$164)/BY169</f>
        <v>#VALUE!</v>
      </c>
      <c r="BZ166" s="9" t="e" cm="1">
        <f t="array" ref="BZ166">MMULT(TRANSPOSE($J$2:$J$82),BZ$84:BZ$164)/BZ169</f>
        <v>#VALUE!</v>
      </c>
      <c r="CA166" s="9" t="e" cm="1">
        <f t="array" ref="CA166">MMULT(TRANSPOSE($J$2:$J$82),CA$84:CA$164)/CA169</f>
        <v>#VALUE!</v>
      </c>
      <c r="CB166" s="9" t="e" cm="1">
        <f t="array" ref="CB166">MMULT(TRANSPOSE($J$2:$J$82),CB$84:CB$164)/CB169</f>
        <v>#VALUE!</v>
      </c>
      <c r="CC166" s="9" t="e" cm="1">
        <f t="array" ref="CC166">MMULT(TRANSPOSE($J$2:$J$82),CC$84:CC$164)/CC169</f>
        <v>#VALUE!</v>
      </c>
      <c r="CD166" s="9" t="e" cm="1">
        <f t="array" ref="CD166">MMULT(TRANSPOSE($J$2:$J$82),CD$84:CD$164)/CD169</f>
        <v>#VALUE!</v>
      </c>
      <c r="CE166" s="9" t="e" cm="1">
        <f t="array" ref="CE166">MMULT(TRANSPOSE($J$2:$J$82),CE$84:CE$164)/CE169</f>
        <v>#VALUE!</v>
      </c>
      <c r="CF166" s="9" t="e" cm="1">
        <f t="array" ref="CF166">MMULT(TRANSPOSE($J$2:$J$82),CF$84:CF$164)/CF169</f>
        <v>#VALUE!</v>
      </c>
      <c r="CG166" s="9" t="e" cm="1">
        <f t="array" ref="CG166">MMULT(TRANSPOSE($J$2:$J$82),CG$84:CG$164)/CG169</f>
        <v>#VALUE!</v>
      </c>
      <c r="CH166" s="9" t="e" cm="1">
        <f t="array" ref="CH166">MMULT(TRANSPOSE($J$2:$J$82),CH$84:CH$164)/CH169</f>
        <v>#VALUE!</v>
      </c>
      <c r="CI166" s="9" t="e" cm="1">
        <f t="array" ref="CI166">MMULT(TRANSPOSE($J$2:$J$82),CI$84:CI$164)/CI169</f>
        <v>#VALUE!</v>
      </c>
      <c r="CJ166" s="9" t="e" cm="1">
        <f t="array" ref="CJ166">MMULT(TRANSPOSE($J$2:$J$82),CJ$84:CJ$164)/CJ169</f>
        <v>#VALUE!</v>
      </c>
      <c r="CK166" s="9" t="e" cm="1">
        <f t="array" ref="CK166">MMULT(TRANSPOSE($J$2:$J$82),CK$84:CK$164)/CK169</f>
        <v>#VALUE!</v>
      </c>
      <c r="CL166" s="9" t="e" cm="1">
        <f t="array" ref="CL166">MMULT(TRANSPOSE($J$2:$J$82),CL$84:CL$164)/CL169</f>
        <v>#VALUE!</v>
      </c>
      <c r="CM166" s="9" t="e" cm="1">
        <f t="array" ref="CM166">MMULT(TRANSPOSE($J$2:$J$82),CM$84:CM$164)/CM169</f>
        <v>#VALUE!</v>
      </c>
      <c r="CN166" s="9" t="e" cm="1">
        <f t="array" ref="CN166">MMULT(TRANSPOSE($J$2:$J$82),CN$84:CN$164)/CN169</f>
        <v>#VALUE!</v>
      </c>
      <c r="CO166" s="9" t="e" cm="1">
        <f t="array" ref="CO166">MMULT(TRANSPOSE($J$2:$J$82),CO$84:CO$164)/CO169</f>
        <v>#VALUE!</v>
      </c>
      <c r="CP166" s="9" t="e" cm="1">
        <f t="array" ref="CP166">MMULT(TRANSPOSE($J$2:$J$82),CP$84:CP$164)/CP169</f>
        <v>#VALUE!</v>
      </c>
      <c r="CQ166" s="9" t="e" cm="1">
        <f t="array" ref="CQ166">MMULT(TRANSPOSE($J$2:$J$82),CQ$84:CQ$164)/CQ169</f>
        <v>#VALUE!</v>
      </c>
      <c r="CR166" s="9" t="e" cm="1">
        <f t="array" ref="CR166">MMULT(TRANSPOSE($J$2:$J$82),CR$84:CR$164)/CR169</f>
        <v>#VALUE!</v>
      </c>
      <c r="CS166" s="9" t="e" cm="1">
        <f t="array" ref="CS166">MMULT(TRANSPOSE($J$2:$J$82),CS$84:CS$164)/CS169</f>
        <v>#VALUE!</v>
      </c>
      <c r="CT166" s="9" t="e" cm="1">
        <f t="array" ref="CT166">MMULT(TRANSPOSE($J$2:$J$82),CT$84:CT$164)/CT169</f>
        <v>#VALUE!</v>
      </c>
      <c r="CU166" s="9" t="e" cm="1">
        <f t="array" ref="CU166">MMULT(TRANSPOSE($J$2:$J$82),CU$84:CU$164)/CU169</f>
        <v>#VALUE!</v>
      </c>
      <c r="CV166" s="9" t="e" cm="1">
        <f t="array" ref="CV166">MMULT(TRANSPOSE($J$2:$J$82),CV$84:CV$164)/CV169</f>
        <v>#VALUE!</v>
      </c>
      <c r="CW166" s="9" t="e" cm="1">
        <f t="array" ref="CW166">MMULT(TRANSPOSE($J$2:$J$82),CW$84:CW$164)/CW169</f>
        <v>#VALUE!</v>
      </c>
      <c r="CX166" s="9" t="e" cm="1">
        <f t="array" ref="CX166">MMULT(TRANSPOSE($J$2:$J$82),CX$84:CX$164)/CX169</f>
        <v>#VALUE!</v>
      </c>
      <c r="CY166" s="9" t="e" cm="1">
        <f t="array" ref="CY166">MMULT(TRANSPOSE($J$2:$J$82),CY$84:CY$164)/CY169</f>
        <v>#VALUE!</v>
      </c>
      <c r="CZ166" s="9" t="e" cm="1">
        <f t="array" ref="CZ166">MMULT(TRANSPOSE($J$2:$J$82),CZ$84:CZ$164)/CZ169</f>
        <v>#VALUE!</v>
      </c>
      <c r="DA166" s="9" t="e" cm="1">
        <f t="array" ref="DA166">MMULT(TRANSPOSE($J$2:$J$82),DA$84:DA$164)/DA169</f>
        <v>#VALUE!</v>
      </c>
      <c r="DB166" s="9" t="e" cm="1">
        <f t="array" ref="DB166">MMULT(TRANSPOSE($J$2:$J$82),DB$84:DB$164)/DB169</f>
        <v>#VALUE!</v>
      </c>
    </row>
    <row r="167" spans="11:106">
      <c r="K167" s="13">
        <v>-0.96926599999999996</v>
      </c>
      <c r="L167" s="13">
        <v>1.8760108</v>
      </c>
      <c r="M167" s="13">
        <v>4.1556000000000003E-2</v>
      </c>
      <c r="O167" s="5" t="s">
        <v>19</v>
      </c>
      <c r="P167" s="9" cm="1">
        <f t="array" aca="1" ref="P167" ca="1">MMULT(TRANSPOSE($K$2:$K$82),P$84:P$164)/P169</f>
        <v>0.69384458019557238</v>
      </c>
      <c r="Q167" s="9" cm="1">
        <f t="array" aca="1" ref="Q167" ca="1">MMULT(TRANSPOSE($K$2:$K$82),Q$84:Q$164)/Q169</f>
        <v>0.81885632067890479</v>
      </c>
      <c r="R167" s="9" cm="1">
        <f t="array" aca="1" ref="R167" ca="1">MMULT(TRANSPOSE($K$2:$K$82),R$84:R$164)/R169</f>
        <v>0.6750649204084388</v>
      </c>
      <c r="S167" s="9" cm="1">
        <f t="array" aca="1" ref="S167" ca="1">MMULT(TRANSPOSE($K$2:$K$82),S$84:S$164)/S169</f>
        <v>0.63561816629572965</v>
      </c>
      <c r="T167" s="9" cm="1">
        <f t="array" aca="1" ref="T167" ca="1">MMULT(TRANSPOSE($K$2:$K$82),T$84:T$164)/T169</f>
        <v>0.70503650237327375</v>
      </c>
      <c r="U167" s="9" cm="1">
        <f t="array" aca="1" ref="U167" ca="1">MMULT(TRANSPOSE($K$2:$K$82),U$84:U$164)/U169</f>
        <v>0.66127752046829413</v>
      </c>
      <c r="V167" s="9" cm="1">
        <f t="array" aca="1" ref="V167" ca="1">MMULT(TRANSPOSE($K$2:$K$82),V$84:V$164)/V169</f>
        <v>0.84473092707434039</v>
      </c>
      <c r="W167" s="9" cm="1">
        <f t="array" aca="1" ref="W167" ca="1">MMULT(TRANSPOSE($K$2:$K$82),W$84:W$164)/W169</f>
        <v>0.83635917409462968</v>
      </c>
      <c r="X167" s="9" t="e" cm="1">
        <f t="array" ref="X167">MMULT(TRANSPOSE($K$2:$K$82),X$84:X$164)/X169</f>
        <v>#VALUE!</v>
      </c>
      <c r="Y167" s="9" t="e" cm="1">
        <f t="array" ref="Y167">MMULT(TRANSPOSE($K$2:$K$82),Y$84:Y$164)/Y169</f>
        <v>#VALUE!</v>
      </c>
      <c r="Z167" s="9" t="e" cm="1">
        <f t="array" ref="Z167">MMULT(TRANSPOSE($K$2:$K$82),Z$84:Z$164)/Z169</f>
        <v>#VALUE!</v>
      </c>
      <c r="AA167" s="9" t="e" cm="1">
        <f t="array" ref="AA167">MMULT(TRANSPOSE($K$2:$K$82),AA$84:AA$164)/AA169</f>
        <v>#VALUE!</v>
      </c>
      <c r="AB167" s="9" t="e" cm="1">
        <f t="array" ref="AB167">MMULT(TRANSPOSE($K$2:$K$82),AB$84:AB$164)/AB169</f>
        <v>#VALUE!</v>
      </c>
      <c r="AC167" s="9" t="e" cm="1">
        <f t="array" ref="AC167">MMULT(TRANSPOSE($K$2:$K$82),AC$84:AC$164)/AC169</f>
        <v>#VALUE!</v>
      </c>
      <c r="AD167" s="9" t="e" cm="1">
        <f t="array" ref="AD167">MMULT(TRANSPOSE($K$2:$K$82),AD$84:AD$164)/AD169</f>
        <v>#VALUE!</v>
      </c>
      <c r="AE167" s="9" t="e" cm="1">
        <f t="array" ref="AE167">MMULT(TRANSPOSE($K$2:$K$82),AE$84:AE$164)/AE169</f>
        <v>#VALUE!</v>
      </c>
      <c r="AF167" s="9" t="e" cm="1">
        <f t="array" ref="AF167">MMULT(TRANSPOSE($K$2:$K$82),AF$84:AF$164)/AF169</f>
        <v>#VALUE!</v>
      </c>
      <c r="AG167" s="9" t="e" cm="1">
        <f t="array" ref="AG167">MMULT(TRANSPOSE($K$2:$K$82),AG$84:AG$164)/AG169</f>
        <v>#VALUE!</v>
      </c>
      <c r="AH167" s="9" t="e" cm="1">
        <f t="array" ref="AH167">MMULT(TRANSPOSE($K$2:$K$82),AH$84:AH$164)/AH169</f>
        <v>#VALUE!</v>
      </c>
      <c r="AI167" s="9" t="e" cm="1">
        <f t="array" ref="AI167">MMULT(TRANSPOSE($K$2:$K$82),AI$84:AI$164)/AI169</f>
        <v>#VALUE!</v>
      </c>
      <c r="AJ167" s="9" t="e" cm="1">
        <f t="array" ref="AJ167">MMULT(TRANSPOSE($K$2:$K$82),AJ$84:AJ$164)/AJ169</f>
        <v>#VALUE!</v>
      </c>
      <c r="AK167" s="9" t="e" cm="1">
        <f t="array" ref="AK167">MMULT(TRANSPOSE($K$2:$K$82),AK$84:AK$164)/AK169</f>
        <v>#VALUE!</v>
      </c>
      <c r="AL167" s="9" t="e" cm="1">
        <f t="array" ref="AL167">MMULT(TRANSPOSE($K$2:$K$82),AL$84:AL$164)/AL169</f>
        <v>#VALUE!</v>
      </c>
      <c r="AM167" s="9" t="e" cm="1">
        <f t="array" ref="AM167">MMULT(TRANSPOSE($K$2:$K$82),AM$84:AM$164)/AM169</f>
        <v>#VALUE!</v>
      </c>
      <c r="AN167" s="9" t="e" cm="1">
        <f t="array" ref="AN167">MMULT(TRANSPOSE($K$2:$K$82),AN$84:AN$164)/AN169</f>
        <v>#VALUE!</v>
      </c>
      <c r="AO167" s="9" t="e" cm="1">
        <f t="array" ref="AO167">MMULT(TRANSPOSE($K$2:$K$82),AO$84:AO$164)/AO169</f>
        <v>#VALUE!</v>
      </c>
      <c r="AP167" s="9" t="e" cm="1">
        <f t="array" ref="AP167">MMULT(TRANSPOSE($K$2:$K$82),AP$84:AP$164)/AP169</f>
        <v>#VALUE!</v>
      </c>
      <c r="AQ167" s="9" t="e" cm="1">
        <f t="array" ref="AQ167">MMULT(TRANSPOSE($K$2:$K$82),AQ$84:AQ$164)/AQ169</f>
        <v>#VALUE!</v>
      </c>
      <c r="AR167" s="9" t="e" cm="1">
        <f t="array" ref="AR167">MMULT(TRANSPOSE($K$2:$K$82),AR$84:AR$164)/AR169</f>
        <v>#VALUE!</v>
      </c>
      <c r="AS167" s="9" t="e" cm="1">
        <f t="array" ref="AS167">MMULT(TRANSPOSE($K$2:$K$82),AS$84:AS$164)/AS169</f>
        <v>#VALUE!</v>
      </c>
      <c r="AT167" s="9" t="e" cm="1">
        <f t="array" ref="AT167">MMULT(TRANSPOSE($K$2:$K$82),AT$84:AT$164)/AT169</f>
        <v>#VALUE!</v>
      </c>
      <c r="AU167" s="9" t="e" cm="1">
        <f t="array" ref="AU167">MMULT(TRANSPOSE($K$2:$K$82),AU$84:AU$164)/AU169</f>
        <v>#VALUE!</v>
      </c>
      <c r="AV167" s="9" t="e" cm="1">
        <f t="array" ref="AV167">MMULT(TRANSPOSE($K$2:$K$82),AV$84:AV$164)/AV169</f>
        <v>#VALUE!</v>
      </c>
      <c r="AW167" s="9" t="e" cm="1">
        <f t="array" ref="AW167">MMULT(TRANSPOSE($K$2:$K$82),AW$84:AW$164)/AW169</f>
        <v>#VALUE!</v>
      </c>
      <c r="AX167" s="9" t="e" cm="1">
        <f t="array" ref="AX167">MMULT(TRANSPOSE($K$2:$K$82),AX$84:AX$164)/AX169</f>
        <v>#VALUE!</v>
      </c>
      <c r="AY167" s="9" t="e" cm="1">
        <f t="array" ref="AY167">MMULT(TRANSPOSE($K$2:$K$82),AY$84:AY$164)/AY169</f>
        <v>#VALUE!</v>
      </c>
      <c r="AZ167" s="9" t="e" cm="1">
        <f t="array" ref="AZ167">MMULT(TRANSPOSE($K$2:$K$82),AZ$84:AZ$164)/AZ169</f>
        <v>#VALUE!</v>
      </c>
      <c r="BA167" s="9" t="e" cm="1">
        <f t="array" ref="BA167">MMULT(TRANSPOSE($K$2:$K$82),BA$84:BA$164)/BA169</f>
        <v>#VALUE!</v>
      </c>
      <c r="BB167" s="9" t="e" cm="1">
        <f t="array" ref="BB167">MMULT(TRANSPOSE($K$2:$K$82),BB$84:BB$164)/BB169</f>
        <v>#VALUE!</v>
      </c>
      <c r="BC167" s="9" t="e" cm="1">
        <f t="array" ref="BC167">MMULT(TRANSPOSE($K$2:$K$82),BC$84:BC$164)/BC169</f>
        <v>#VALUE!</v>
      </c>
      <c r="BD167" s="9" t="e" cm="1">
        <f t="array" ref="BD167">MMULT(TRANSPOSE($K$2:$K$82),BD$84:BD$164)/BD169</f>
        <v>#VALUE!</v>
      </c>
      <c r="BE167" s="9" t="e" cm="1">
        <f t="array" ref="BE167">MMULT(TRANSPOSE($K$2:$K$82),BE$84:BE$164)/BE169</f>
        <v>#VALUE!</v>
      </c>
      <c r="BF167" s="9" t="e" cm="1">
        <f t="array" ref="BF167">MMULT(TRANSPOSE($K$2:$K$82),BF$84:BF$164)/BF169</f>
        <v>#VALUE!</v>
      </c>
      <c r="BG167" s="9" t="e" cm="1">
        <f t="array" ref="BG167">MMULT(TRANSPOSE($K$2:$K$82),BG$84:BG$164)/BG169</f>
        <v>#VALUE!</v>
      </c>
      <c r="BH167" s="9" t="e" cm="1">
        <f t="array" ref="BH167">MMULT(TRANSPOSE($K$2:$K$82),BH$84:BH$164)/BH169</f>
        <v>#VALUE!</v>
      </c>
      <c r="BI167" s="9" t="e" cm="1">
        <f t="array" ref="BI167">MMULT(TRANSPOSE($K$2:$K$82),BI$84:BI$164)/BI169</f>
        <v>#VALUE!</v>
      </c>
      <c r="BJ167" s="9" t="e" cm="1">
        <f t="array" ref="BJ167">MMULT(TRANSPOSE($K$2:$K$82),BJ$84:BJ$164)/BJ169</f>
        <v>#VALUE!</v>
      </c>
      <c r="BK167" s="9" t="e" cm="1">
        <f t="array" ref="BK167">MMULT(TRANSPOSE($K$2:$K$82),BK$84:BK$164)/BK169</f>
        <v>#VALUE!</v>
      </c>
      <c r="BL167" s="9" t="e" cm="1">
        <f t="array" ref="BL167">MMULT(TRANSPOSE($K$2:$K$82),BL$84:BL$164)/BL169</f>
        <v>#VALUE!</v>
      </c>
      <c r="BM167" s="9" t="e" cm="1">
        <f t="array" ref="BM167">MMULT(TRANSPOSE($K$2:$K$82),BM$84:BM$164)/BM169</f>
        <v>#VALUE!</v>
      </c>
      <c r="BN167" s="9" t="e" cm="1">
        <f t="array" ref="BN167">MMULT(TRANSPOSE($K$2:$K$82),BN$84:BN$164)/BN169</f>
        <v>#VALUE!</v>
      </c>
      <c r="BO167" s="9" t="e" cm="1">
        <f t="array" ref="BO167">MMULT(TRANSPOSE($K$2:$K$82),BO$84:BO$164)/BO169</f>
        <v>#VALUE!</v>
      </c>
      <c r="BP167" s="9" t="e" cm="1">
        <f t="array" ref="BP167">MMULT(TRANSPOSE($K$2:$K$82),BP$84:BP$164)/BP169</f>
        <v>#VALUE!</v>
      </c>
      <c r="BQ167" s="9" t="e" cm="1">
        <f t="array" ref="BQ167">MMULT(TRANSPOSE($K$2:$K$82),BQ$84:BQ$164)/BQ169</f>
        <v>#VALUE!</v>
      </c>
      <c r="BR167" s="9" t="e" cm="1">
        <f t="array" ref="BR167">MMULT(TRANSPOSE($K$2:$K$82),BR$84:BR$164)/BR169</f>
        <v>#VALUE!</v>
      </c>
      <c r="BS167" s="9" t="e" cm="1">
        <f t="array" ref="BS167">MMULT(TRANSPOSE($K$2:$K$82),BS$84:BS$164)/BS169</f>
        <v>#VALUE!</v>
      </c>
      <c r="BT167" s="9" t="e" cm="1">
        <f t="array" ref="BT167">MMULT(TRANSPOSE($K$2:$K$82),BT$84:BT$164)/BT169</f>
        <v>#VALUE!</v>
      </c>
      <c r="BU167" s="9" t="e" cm="1">
        <f t="array" ref="BU167">MMULT(TRANSPOSE($K$2:$K$82),BU$84:BU$164)/BU169</f>
        <v>#VALUE!</v>
      </c>
      <c r="BV167" s="9" t="e" cm="1">
        <f t="array" ref="BV167">MMULT(TRANSPOSE($K$2:$K$82),BV$84:BV$164)/BV169</f>
        <v>#VALUE!</v>
      </c>
      <c r="BW167" s="9" t="e" cm="1">
        <f t="array" ref="BW167">MMULT(TRANSPOSE($K$2:$K$82),BW$84:BW$164)/BW169</f>
        <v>#VALUE!</v>
      </c>
      <c r="BX167" s="9" t="e" cm="1">
        <f t="array" ref="BX167">MMULT(TRANSPOSE($K$2:$K$82),BX$84:BX$164)/BX169</f>
        <v>#VALUE!</v>
      </c>
      <c r="BY167" s="9" t="e" cm="1">
        <f t="array" ref="BY167">MMULT(TRANSPOSE($K$2:$K$82),BY$84:BY$164)/BY169</f>
        <v>#VALUE!</v>
      </c>
      <c r="BZ167" s="9" t="e" cm="1">
        <f t="array" ref="BZ167">MMULT(TRANSPOSE($K$2:$K$82),BZ$84:BZ$164)/BZ169</f>
        <v>#VALUE!</v>
      </c>
      <c r="CA167" s="9" t="e" cm="1">
        <f t="array" ref="CA167">MMULT(TRANSPOSE($K$2:$K$82),CA$84:CA$164)/CA169</f>
        <v>#VALUE!</v>
      </c>
      <c r="CB167" s="9" t="e" cm="1">
        <f t="array" ref="CB167">MMULT(TRANSPOSE($K$2:$K$82),CB$84:CB$164)/CB169</f>
        <v>#VALUE!</v>
      </c>
      <c r="CC167" s="9" t="e" cm="1">
        <f t="array" ref="CC167">MMULT(TRANSPOSE($K$2:$K$82),CC$84:CC$164)/CC169</f>
        <v>#VALUE!</v>
      </c>
      <c r="CD167" s="9" t="e" cm="1">
        <f t="array" ref="CD167">MMULT(TRANSPOSE($K$2:$K$82),CD$84:CD$164)/CD169</f>
        <v>#VALUE!</v>
      </c>
      <c r="CE167" s="9" t="e" cm="1">
        <f t="array" ref="CE167">MMULT(TRANSPOSE($K$2:$K$82),CE$84:CE$164)/CE169</f>
        <v>#VALUE!</v>
      </c>
      <c r="CF167" s="9" t="e" cm="1">
        <f t="array" ref="CF167">MMULT(TRANSPOSE($K$2:$K$82),CF$84:CF$164)/CF169</f>
        <v>#VALUE!</v>
      </c>
      <c r="CG167" s="9" t="e" cm="1">
        <f t="array" ref="CG167">MMULT(TRANSPOSE($K$2:$K$82),CG$84:CG$164)/CG169</f>
        <v>#VALUE!</v>
      </c>
      <c r="CH167" s="9" t="e" cm="1">
        <f t="array" ref="CH167">MMULT(TRANSPOSE($K$2:$K$82),CH$84:CH$164)/CH169</f>
        <v>#VALUE!</v>
      </c>
      <c r="CI167" s="9" t="e" cm="1">
        <f t="array" ref="CI167">MMULT(TRANSPOSE($K$2:$K$82),CI$84:CI$164)/CI169</f>
        <v>#VALUE!</v>
      </c>
      <c r="CJ167" s="9" t="e" cm="1">
        <f t="array" ref="CJ167">MMULT(TRANSPOSE($K$2:$K$82),CJ$84:CJ$164)/CJ169</f>
        <v>#VALUE!</v>
      </c>
      <c r="CK167" s="9" t="e" cm="1">
        <f t="array" ref="CK167">MMULT(TRANSPOSE($K$2:$K$82),CK$84:CK$164)/CK169</f>
        <v>#VALUE!</v>
      </c>
      <c r="CL167" s="9" t="e" cm="1">
        <f t="array" ref="CL167">MMULT(TRANSPOSE($K$2:$K$82),CL$84:CL$164)/CL169</f>
        <v>#VALUE!</v>
      </c>
      <c r="CM167" s="9" t="e" cm="1">
        <f t="array" ref="CM167">MMULT(TRANSPOSE($K$2:$K$82),CM$84:CM$164)/CM169</f>
        <v>#VALUE!</v>
      </c>
      <c r="CN167" s="9" t="e" cm="1">
        <f t="array" ref="CN167">MMULT(TRANSPOSE($K$2:$K$82),CN$84:CN$164)/CN169</f>
        <v>#VALUE!</v>
      </c>
      <c r="CO167" s="9" t="e" cm="1">
        <f t="array" ref="CO167">MMULT(TRANSPOSE($K$2:$K$82),CO$84:CO$164)/CO169</f>
        <v>#VALUE!</v>
      </c>
      <c r="CP167" s="9" t="e" cm="1">
        <f t="array" ref="CP167">MMULT(TRANSPOSE($K$2:$K$82),CP$84:CP$164)/CP169</f>
        <v>#VALUE!</v>
      </c>
      <c r="CQ167" s="9" t="e" cm="1">
        <f t="array" ref="CQ167">MMULT(TRANSPOSE($K$2:$K$82),CQ$84:CQ$164)/CQ169</f>
        <v>#VALUE!</v>
      </c>
      <c r="CR167" s="9" t="e" cm="1">
        <f t="array" ref="CR167">MMULT(TRANSPOSE($K$2:$K$82),CR$84:CR$164)/CR169</f>
        <v>#VALUE!</v>
      </c>
      <c r="CS167" s="9" t="e" cm="1">
        <f t="array" ref="CS167">MMULT(TRANSPOSE($K$2:$K$82),CS$84:CS$164)/CS169</f>
        <v>#VALUE!</v>
      </c>
      <c r="CT167" s="9" t="e" cm="1">
        <f t="array" ref="CT167">MMULT(TRANSPOSE($K$2:$K$82),CT$84:CT$164)/CT169</f>
        <v>#VALUE!</v>
      </c>
      <c r="CU167" s="9" t="e" cm="1">
        <f t="array" ref="CU167">MMULT(TRANSPOSE($K$2:$K$82),CU$84:CU$164)/CU169</f>
        <v>#VALUE!</v>
      </c>
      <c r="CV167" s="9" t="e" cm="1">
        <f t="array" ref="CV167">MMULT(TRANSPOSE($K$2:$K$82),CV$84:CV$164)/CV169</f>
        <v>#VALUE!</v>
      </c>
      <c r="CW167" s="9" t="e" cm="1">
        <f t="array" ref="CW167">MMULT(TRANSPOSE($K$2:$K$82),CW$84:CW$164)/CW169</f>
        <v>#VALUE!</v>
      </c>
      <c r="CX167" s="9" t="e" cm="1">
        <f t="array" ref="CX167">MMULT(TRANSPOSE($K$2:$K$82),CX$84:CX$164)/CX169</f>
        <v>#VALUE!</v>
      </c>
      <c r="CY167" s="9" t="e" cm="1">
        <f t="array" ref="CY167">MMULT(TRANSPOSE($K$2:$K$82),CY$84:CY$164)/CY169</f>
        <v>#VALUE!</v>
      </c>
      <c r="CZ167" s="9" t="e" cm="1">
        <f t="array" ref="CZ167">MMULT(TRANSPOSE($K$2:$K$82),CZ$84:CZ$164)/CZ169</f>
        <v>#VALUE!</v>
      </c>
      <c r="DA167" s="9" t="e" cm="1">
        <f t="array" ref="DA167">MMULT(TRANSPOSE($K$2:$K$82),DA$84:DA$164)/DA169</f>
        <v>#VALUE!</v>
      </c>
      <c r="DB167" s="9" t="e" cm="1">
        <f t="array" ref="DB167">MMULT(TRANSPOSE($K$2:$K$82),DB$84:DB$164)/DB169</f>
        <v>#VALUE!</v>
      </c>
    </row>
    <row r="168" spans="11:106">
      <c r="K168" s="13">
        <v>5.5643400000000003E-2</v>
      </c>
      <c r="L168" s="13">
        <v>-0.20402590000000001</v>
      </c>
      <c r="M168" s="13">
        <v>1.0572252</v>
      </c>
      <c r="O168" s="5" t="s">
        <v>20</v>
      </c>
      <c r="P168" s="9" cm="1">
        <f t="array" aca="1" ref="P168" ca="1">MMULT(TRANSPOSE($L$2:$L$82),P$84:P$164)/P169</f>
        <v>0.94790437287199181</v>
      </c>
      <c r="Q168" s="9" cm="1">
        <f t="array" aca="1" ref="Q168" ca="1">MMULT(TRANSPOSE($L$2:$L$82),Q$84:Q$164)/Q169</f>
        <v>0.87152519463096267</v>
      </c>
      <c r="R168" s="9" cm="1">
        <f t="array" aca="1" ref="R168" ca="1">MMULT(TRANSPOSE($L$2:$L$82),R$84:R$164)/R169</f>
        <v>0.74763124057412467</v>
      </c>
      <c r="S168" s="9" cm="1">
        <f t="array" aca="1" ref="S168" ca="1">MMULT(TRANSPOSE($L$2:$L$82),S$84:S$164)/S169</f>
        <v>0.79681657958508545</v>
      </c>
      <c r="T168" s="9" cm="1">
        <f t="array" aca="1" ref="T168" ca="1">MMULT(TRANSPOSE($L$2:$L$82),T$84:T$164)/T169</f>
        <v>0.71753749406794087</v>
      </c>
      <c r="U168" s="9" cm="1">
        <f t="array" aca="1" ref="U168" ca="1">MMULT(TRANSPOSE($L$2:$L$82),U$84:U$164)/U169</f>
        <v>0.56680744473563061</v>
      </c>
      <c r="V168" s="9" cm="1">
        <f t="array" aca="1" ref="V168" ca="1">MMULT(TRANSPOSE($L$2:$L$82),V$84:V$164)/V169</f>
        <v>0.81525937763256406</v>
      </c>
      <c r="W168" s="9" cm="1">
        <f t="array" aca="1" ref="W168" ca="1">MMULT(TRANSPOSE($L$2:$L$82),W$84:W$164)/W169</f>
        <v>0.81340867735176769</v>
      </c>
      <c r="X168" s="9" t="e" cm="1">
        <f t="array" ref="X168">MMULT(TRANSPOSE($L$2:$L$82),X$84:X$164)/X169</f>
        <v>#VALUE!</v>
      </c>
      <c r="Y168" s="9" t="e" cm="1">
        <f t="array" ref="Y168">MMULT(TRANSPOSE($L$2:$L$82),Y$84:Y$164)/Y169</f>
        <v>#VALUE!</v>
      </c>
      <c r="Z168" s="9" t="e" cm="1">
        <f t="array" ref="Z168">MMULT(TRANSPOSE($L$2:$L$82),Z$84:Z$164)/Z169</f>
        <v>#VALUE!</v>
      </c>
      <c r="AA168" s="9" t="e" cm="1">
        <f t="array" ref="AA168">MMULT(TRANSPOSE($L$2:$L$82),AA$84:AA$164)/AA169</f>
        <v>#VALUE!</v>
      </c>
      <c r="AB168" s="9" t="e" cm="1">
        <f t="array" ref="AB168">MMULT(TRANSPOSE($L$2:$L$82),AB$84:AB$164)/AB169</f>
        <v>#VALUE!</v>
      </c>
      <c r="AC168" s="9" t="e" cm="1">
        <f t="array" ref="AC168">MMULT(TRANSPOSE($L$2:$L$82),AC$84:AC$164)/AC169</f>
        <v>#VALUE!</v>
      </c>
      <c r="AD168" s="9" t="e" cm="1">
        <f t="array" ref="AD168">MMULT(TRANSPOSE($L$2:$L$82),AD$84:AD$164)/AD169</f>
        <v>#VALUE!</v>
      </c>
      <c r="AE168" s="9" t="e" cm="1">
        <f t="array" ref="AE168">MMULT(TRANSPOSE($L$2:$L$82),AE$84:AE$164)/AE169</f>
        <v>#VALUE!</v>
      </c>
      <c r="AF168" s="9" t="e" cm="1">
        <f t="array" ref="AF168">MMULT(TRANSPOSE($L$2:$L$82),AF$84:AF$164)/AF169</f>
        <v>#VALUE!</v>
      </c>
      <c r="AG168" s="9" t="e" cm="1">
        <f t="array" ref="AG168">MMULT(TRANSPOSE($L$2:$L$82),AG$84:AG$164)/AG169</f>
        <v>#VALUE!</v>
      </c>
      <c r="AH168" s="9" t="e" cm="1">
        <f t="array" ref="AH168">MMULT(TRANSPOSE($L$2:$L$82),AH$84:AH$164)/AH169</f>
        <v>#VALUE!</v>
      </c>
      <c r="AI168" s="9" t="e" cm="1">
        <f t="array" ref="AI168">MMULT(TRANSPOSE($L$2:$L$82),AI$84:AI$164)/AI169</f>
        <v>#VALUE!</v>
      </c>
      <c r="AJ168" s="9" t="e" cm="1">
        <f t="array" ref="AJ168">MMULT(TRANSPOSE($L$2:$L$82),AJ$84:AJ$164)/AJ169</f>
        <v>#VALUE!</v>
      </c>
      <c r="AK168" s="9" t="e" cm="1">
        <f t="array" ref="AK168">MMULT(TRANSPOSE($L$2:$L$82),AK$84:AK$164)/AK169</f>
        <v>#VALUE!</v>
      </c>
      <c r="AL168" s="9" t="e" cm="1">
        <f t="array" ref="AL168">MMULT(TRANSPOSE($L$2:$L$82),AL$84:AL$164)/AL169</f>
        <v>#VALUE!</v>
      </c>
      <c r="AM168" s="9" t="e" cm="1">
        <f t="array" ref="AM168">MMULT(TRANSPOSE($L$2:$L$82),AM$84:AM$164)/AM169</f>
        <v>#VALUE!</v>
      </c>
      <c r="AN168" s="9" t="e" cm="1">
        <f t="array" ref="AN168">MMULT(TRANSPOSE($L$2:$L$82),AN$84:AN$164)/AN169</f>
        <v>#VALUE!</v>
      </c>
      <c r="AO168" s="9" t="e" cm="1">
        <f t="array" ref="AO168">MMULT(TRANSPOSE($L$2:$L$82),AO$84:AO$164)/AO169</f>
        <v>#VALUE!</v>
      </c>
      <c r="AP168" s="9" t="e" cm="1">
        <f t="array" ref="AP168">MMULT(TRANSPOSE($L$2:$L$82),AP$84:AP$164)/AP169</f>
        <v>#VALUE!</v>
      </c>
      <c r="AQ168" s="9" t="e" cm="1">
        <f t="array" ref="AQ168">MMULT(TRANSPOSE($L$2:$L$82),AQ$84:AQ$164)/AQ169</f>
        <v>#VALUE!</v>
      </c>
      <c r="AR168" s="9" t="e" cm="1">
        <f t="array" ref="AR168">MMULT(TRANSPOSE($L$2:$L$82),AR$84:AR$164)/AR169</f>
        <v>#VALUE!</v>
      </c>
      <c r="AS168" s="9" t="e" cm="1">
        <f t="array" ref="AS168">MMULT(TRANSPOSE($L$2:$L$82),AS$84:AS$164)/AS169</f>
        <v>#VALUE!</v>
      </c>
      <c r="AT168" s="9" t="e" cm="1">
        <f t="array" ref="AT168">MMULT(TRANSPOSE($L$2:$L$82),AT$84:AT$164)/AT169</f>
        <v>#VALUE!</v>
      </c>
      <c r="AU168" s="9" t="e" cm="1">
        <f t="array" ref="AU168">MMULT(TRANSPOSE($L$2:$L$82),AU$84:AU$164)/AU169</f>
        <v>#VALUE!</v>
      </c>
      <c r="AV168" s="9" t="e" cm="1">
        <f t="array" ref="AV168">MMULT(TRANSPOSE($L$2:$L$82),AV$84:AV$164)/AV169</f>
        <v>#VALUE!</v>
      </c>
      <c r="AW168" s="9" t="e" cm="1">
        <f t="array" ref="AW168">MMULT(TRANSPOSE($L$2:$L$82),AW$84:AW$164)/AW169</f>
        <v>#VALUE!</v>
      </c>
      <c r="AX168" s="9" t="e" cm="1">
        <f t="array" ref="AX168">MMULT(TRANSPOSE($L$2:$L$82),AX$84:AX$164)/AX169</f>
        <v>#VALUE!</v>
      </c>
      <c r="AY168" s="9" t="e" cm="1">
        <f t="array" ref="AY168">MMULT(TRANSPOSE($L$2:$L$82),AY$84:AY$164)/AY169</f>
        <v>#VALUE!</v>
      </c>
      <c r="AZ168" s="9" t="e" cm="1">
        <f t="array" ref="AZ168">MMULT(TRANSPOSE($L$2:$L$82),AZ$84:AZ$164)/AZ169</f>
        <v>#VALUE!</v>
      </c>
      <c r="BA168" s="9" t="e" cm="1">
        <f t="array" ref="BA168">MMULT(TRANSPOSE($L$2:$L$82),BA$84:BA$164)/BA169</f>
        <v>#VALUE!</v>
      </c>
      <c r="BB168" s="9" t="e" cm="1">
        <f t="array" ref="BB168">MMULT(TRANSPOSE($L$2:$L$82),BB$84:BB$164)/BB169</f>
        <v>#VALUE!</v>
      </c>
      <c r="BC168" s="9" t="e" cm="1">
        <f t="array" ref="BC168">MMULT(TRANSPOSE($L$2:$L$82),BC$84:BC$164)/BC169</f>
        <v>#VALUE!</v>
      </c>
      <c r="BD168" s="9" t="e" cm="1">
        <f t="array" ref="BD168">MMULT(TRANSPOSE($L$2:$L$82),BD$84:BD$164)/BD169</f>
        <v>#VALUE!</v>
      </c>
      <c r="BE168" s="9" t="e" cm="1">
        <f t="array" ref="BE168">MMULT(TRANSPOSE($L$2:$L$82),BE$84:BE$164)/BE169</f>
        <v>#VALUE!</v>
      </c>
      <c r="BF168" s="9" t="e" cm="1">
        <f t="array" ref="BF168">MMULT(TRANSPOSE($L$2:$L$82),BF$84:BF$164)/BF169</f>
        <v>#VALUE!</v>
      </c>
      <c r="BG168" s="9" t="e" cm="1">
        <f t="array" ref="BG168">MMULT(TRANSPOSE($L$2:$L$82),BG$84:BG$164)/BG169</f>
        <v>#VALUE!</v>
      </c>
      <c r="BH168" s="9" t="e" cm="1">
        <f t="array" ref="BH168">MMULT(TRANSPOSE($L$2:$L$82),BH$84:BH$164)/BH169</f>
        <v>#VALUE!</v>
      </c>
      <c r="BI168" s="9" t="e" cm="1">
        <f t="array" ref="BI168">MMULT(TRANSPOSE($L$2:$L$82),BI$84:BI$164)/BI169</f>
        <v>#VALUE!</v>
      </c>
      <c r="BJ168" s="9" t="e" cm="1">
        <f t="array" ref="BJ168">MMULT(TRANSPOSE($L$2:$L$82),BJ$84:BJ$164)/BJ169</f>
        <v>#VALUE!</v>
      </c>
      <c r="BK168" s="9" t="e" cm="1">
        <f t="array" ref="BK168">MMULT(TRANSPOSE($L$2:$L$82),BK$84:BK$164)/BK169</f>
        <v>#VALUE!</v>
      </c>
      <c r="BL168" s="9" t="e" cm="1">
        <f t="array" ref="BL168">MMULT(TRANSPOSE($L$2:$L$82),BL$84:BL$164)/BL169</f>
        <v>#VALUE!</v>
      </c>
      <c r="BM168" s="9" t="e" cm="1">
        <f t="array" ref="BM168">MMULT(TRANSPOSE($L$2:$L$82),BM$84:BM$164)/BM169</f>
        <v>#VALUE!</v>
      </c>
      <c r="BN168" s="9" t="e" cm="1">
        <f t="array" ref="BN168">MMULT(TRANSPOSE($L$2:$L$82),BN$84:BN$164)/BN169</f>
        <v>#VALUE!</v>
      </c>
      <c r="BO168" s="9" t="e" cm="1">
        <f t="array" ref="BO168">MMULT(TRANSPOSE($L$2:$L$82),BO$84:BO$164)/BO169</f>
        <v>#VALUE!</v>
      </c>
      <c r="BP168" s="9" t="e" cm="1">
        <f t="array" ref="BP168">MMULT(TRANSPOSE($L$2:$L$82),BP$84:BP$164)/BP169</f>
        <v>#VALUE!</v>
      </c>
      <c r="BQ168" s="9" t="e" cm="1">
        <f t="array" ref="BQ168">MMULT(TRANSPOSE($L$2:$L$82),BQ$84:BQ$164)/BQ169</f>
        <v>#VALUE!</v>
      </c>
      <c r="BR168" s="9" t="e" cm="1">
        <f t="array" ref="BR168">MMULT(TRANSPOSE($L$2:$L$82),BR$84:BR$164)/BR169</f>
        <v>#VALUE!</v>
      </c>
      <c r="BS168" s="9" t="e" cm="1">
        <f t="array" ref="BS168">MMULT(TRANSPOSE($L$2:$L$82),BS$84:BS$164)/BS169</f>
        <v>#VALUE!</v>
      </c>
      <c r="BT168" s="9" t="e" cm="1">
        <f t="array" ref="BT168">MMULT(TRANSPOSE($L$2:$L$82),BT$84:BT$164)/BT169</f>
        <v>#VALUE!</v>
      </c>
      <c r="BU168" s="9" t="e" cm="1">
        <f t="array" ref="BU168">MMULT(TRANSPOSE($L$2:$L$82),BU$84:BU$164)/BU169</f>
        <v>#VALUE!</v>
      </c>
      <c r="BV168" s="9" t="e" cm="1">
        <f t="array" ref="BV168">MMULT(TRANSPOSE($L$2:$L$82),BV$84:BV$164)/BV169</f>
        <v>#VALUE!</v>
      </c>
      <c r="BW168" s="9" t="e" cm="1">
        <f t="array" ref="BW168">MMULT(TRANSPOSE($L$2:$L$82),BW$84:BW$164)/BW169</f>
        <v>#VALUE!</v>
      </c>
      <c r="BX168" s="9" t="e" cm="1">
        <f t="array" ref="BX168">MMULT(TRANSPOSE($L$2:$L$82),BX$84:BX$164)/BX169</f>
        <v>#VALUE!</v>
      </c>
      <c r="BY168" s="9" t="e" cm="1">
        <f t="array" ref="BY168">MMULT(TRANSPOSE($L$2:$L$82),BY$84:BY$164)/BY169</f>
        <v>#VALUE!</v>
      </c>
      <c r="BZ168" s="9" t="e" cm="1">
        <f t="array" ref="BZ168">MMULT(TRANSPOSE($L$2:$L$82),BZ$84:BZ$164)/BZ169</f>
        <v>#VALUE!</v>
      </c>
      <c r="CA168" s="9" t="e" cm="1">
        <f t="array" ref="CA168">MMULT(TRANSPOSE($L$2:$L$82),CA$84:CA$164)/CA169</f>
        <v>#VALUE!</v>
      </c>
      <c r="CB168" s="9" t="e" cm="1">
        <f t="array" ref="CB168">MMULT(TRANSPOSE($L$2:$L$82),CB$84:CB$164)/CB169</f>
        <v>#VALUE!</v>
      </c>
      <c r="CC168" s="9" t="e" cm="1">
        <f t="array" ref="CC168">MMULT(TRANSPOSE($L$2:$L$82),CC$84:CC$164)/CC169</f>
        <v>#VALUE!</v>
      </c>
      <c r="CD168" s="9" t="e" cm="1">
        <f t="array" ref="CD168">MMULT(TRANSPOSE($L$2:$L$82),CD$84:CD$164)/CD169</f>
        <v>#VALUE!</v>
      </c>
      <c r="CE168" s="9" t="e" cm="1">
        <f t="array" ref="CE168">MMULT(TRANSPOSE($L$2:$L$82),CE$84:CE$164)/CE169</f>
        <v>#VALUE!</v>
      </c>
      <c r="CF168" s="9" t="e" cm="1">
        <f t="array" ref="CF168">MMULT(TRANSPOSE($L$2:$L$82),CF$84:CF$164)/CF169</f>
        <v>#VALUE!</v>
      </c>
      <c r="CG168" s="9" t="e" cm="1">
        <f t="array" ref="CG168">MMULT(TRANSPOSE($L$2:$L$82),CG$84:CG$164)/CG169</f>
        <v>#VALUE!</v>
      </c>
      <c r="CH168" s="9" t="e" cm="1">
        <f t="array" ref="CH168">MMULT(TRANSPOSE($L$2:$L$82),CH$84:CH$164)/CH169</f>
        <v>#VALUE!</v>
      </c>
      <c r="CI168" s="9" t="e" cm="1">
        <f t="array" ref="CI168">MMULT(TRANSPOSE($L$2:$L$82),CI$84:CI$164)/CI169</f>
        <v>#VALUE!</v>
      </c>
      <c r="CJ168" s="9" t="e" cm="1">
        <f t="array" ref="CJ168">MMULT(TRANSPOSE($L$2:$L$82),CJ$84:CJ$164)/CJ169</f>
        <v>#VALUE!</v>
      </c>
      <c r="CK168" s="9" t="e" cm="1">
        <f t="array" ref="CK168">MMULT(TRANSPOSE($L$2:$L$82),CK$84:CK$164)/CK169</f>
        <v>#VALUE!</v>
      </c>
      <c r="CL168" s="9" t="e" cm="1">
        <f t="array" ref="CL168">MMULT(TRANSPOSE($L$2:$L$82),CL$84:CL$164)/CL169</f>
        <v>#VALUE!</v>
      </c>
      <c r="CM168" s="9" t="e" cm="1">
        <f t="array" ref="CM168">MMULT(TRANSPOSE($L$2:$L$82),CM$84:CM$164)/CM169</f>
        <v>#VALUE!</v>
      </c>
      <c r="CN168" s="9" t="e" cm="1">
        <f t="array" ref="CN168">MMULT(TRANSPOSE($L$2:$L$82),CN$84:CN$164)/CN169</f>
        <v>#VALUE!</v>
      </c>
      <c r="CO168" s="9" t="e" cm="1">
        <f t="array" ref="CO168">MMULT(TRANSPOSE($L$2:$L$82),CO$84:CO$164)/CO169</f>
        <v>#VALUE!</v>
      </c>
      <c r="CP168" s="9" t="e" cm="1">
        <f t="array" ref="CP168">MMULT(TRANSPOSE($L$2:$L$82),CP$84:CP$164)/CP169</f>
        <v>#VALUE!</v>
      </c>
      <c r="CQ168" s="9" t="e" cm="1">
        <f t="array" ref="CQ168">MMULT(TRANSPOSE($L$2:$L$82),CQ$84:CQ$164)/CQ169</f>
        <v>#VALUE!</v>
      </c>
      <c r="CR168" s="9" t="e" cm="1">
        <f t="array" ref="CR168">MMULT(TRANSPOSE($L$2:$L$82),CR$84:CR$164)/CR169</f>
        <v>#VALUE!</v>
      </c>
      <c r="CS168" s="9" t="e" cm="1">
        <f t="array" ref="CS168">MMULT(TRANSPOSE($L$2:$L$82),CS$84:CS$164)/CS169</f>
        <v>#VALUE!</v>
      </c>
      <c r="CT168" s="9" t="e" cm="1">
        <f t="array" ref="CT168">MMULT(TRANSPOSE($L$2:$L$82),CT$84:CT$164)/CT169</f>
        <v>#VALUE!</v>
      </c>
      <c r="CU168" s="9" t="e" cm="1">
        <f t="array" ref="CU168">MMULT(TRANSPOSE($L$2:$L$82),CU$84:CU$164)/CU169</f>
        <v>#VALUE!</v>
      </c>
      <c r="CV168" s="9" t="e" cm="1">
        <f t="array" ref="CV168">MMULT(TRANSPOSE($L$2:$L$82),CV$84:CV$164)/CV169</f>
        <v>#VALUE!</v>
      </c>
      <c r="CW168" s="9" t="e" cm="1">
        <f t="array" ref="CW168">MMULT(TRANSPOSE($L$2:$L$82),CW$84:CW$164)/CW169</f>
        <v>#VALUE!</v>
      </c>
      <c r="CX168" s="9" t="e" cm="1">
        <f t="array" ref="CX168">MMULT(TRANSPOSE($L$2:$L$82),CX$84:CX$164)/CX169</f>
        <v>#VALUE!</v>
      </c>
      <c r="CY168" s="9" t="e" cm="1">
        <f t="array" ref="CY168">MMULT(TRANSPOSE($L$2:$L$82),CY$84:CY$164)/CY169</f>
        <v>#VALUE!</v>
      </c>
      <c r="CZ168" s="9" t="e" cm="1">
        <f t="array" ref="CZ168">MMULT(TRANSPOSE($L$2:$L$82),CZ$84:CZ$164)/CZ169</f>
        <v>#VALUE!</v>
      </c>
      <c r="DA168" s="9" t="e" cm="1">
        <f t="array" ref="DA168">MMULT(TRANSPOSE($L$2:$L$82),DA$84:DA$164)/DA169</f>
        <v>#VALUE!</v>
      </c>
      <c r="DB168" s="9" t="e" cm="1">
        <f t="array" ref="DB168">MMULT(TRANSPOSE($L$2:$L$82),DB$84:DB$164)/DB169</f>
        <v>#VALUE!</v>
      </c>
    </row>
    <row r="169" spans="11:106">
      <c r="O169" s="5" t="s">
        <v>27</v>
      </c>
      <c r="P169" s="9">
        <f>SUM($K$2:$K$82)</f>
        <v>2324.0849956380011</v>
      </c>
      <c r="Q169" s="9">
        <f t="shared" ref="Q169:CD169" si="7">SUM($K$2:$K$82)</f>
        <v>2324.0849956380011</v>
      </c>
      <c r="R169" s="9">
        <f t="shared" si="7"/>
        <v>2324.0849956380011</v>
      </c>
      <c r="S169" s="9">
        <f t="shared" si="7"/>
        <v>2324.0849956380011</v>
      </c>
      <c r="T169" s="9">
        <f t="shared" si="7"/>
        <v>2324.0849956380011</v>
      </c>
      <c r="U169" s="9">
        <f t="shared" si="7"/>
        <v>2324.0849956380011</v>
      </c>
      <c r="V169" s="9">
        <f t="shared" si="7"/>
        <v>2324.0849956380011</v>
      </c>
      <c r="W169" s="9">
        <f t="shared" si="7"/>
        <v>2324.0849956380011</v>
      </c>
      <c r="X169" s="9">
        <f t="shared" si="7"/>
        <v>2324.0849956380011</v>
      </c>
      <c r="Y169" s="9">
        <f t="shared" si="7"/>
        <v>2324.0849956380011</v>
      </c>
      <c r="Z169" s="9">
        <f t="shared" si="7"/>
        <v>2324.0849956380011</v>
      </c>
      <c r="AA169" s="9">
        <f t="shared" si="7"/>
        <v>2324.0849956380011</v>
      </c>
      <c r="AB169" s="9">
        <f t="shared" si="7"/>
        <v>2324.0849956380011</v>
      </c>
      <c r="AC169" s="9">
        <f t="shared" si="7"/>
        <v>2324.0849956380011</v>
      </c>
      <c r="AD169" s="9">
        <f t="shared" si="7"/>
        <v>2324.0849956380011</v>
      </c>
      <c r="AE169" s="9">
        <f t="shared" si="7"/>
        <v>2324.0849956380011</v>
      </c>
      <c r="AF169" s="9">
        <f t="shared" si="7"/>
        <v>2324.0849956380011</v>
      </c>
      <c r="AG169" s="9">
        <f t="shared" si="7"/>
        <v>2324.0849956380011</v>
      </c>
      <c r="AH169" s="9">
        <f t="shared" si="7"/>
        <v>2324.0849956380011</v>
      </c>
      <c r="AI169" s="9">
        <f t="shared" si="7"/>
        <v>2324.0849956380011</v>
      </c>
      <c r="AJ169" s="9">
        <f t="shared" si="7"/>
        <v>2324.0849956380011</v>
      </c>
      <c r="AK169" s="9">
        <f t="shared" si="7"/>
        <v>2324.0849956380011</v>
      </c>
      <c r="AL169" s="9">
        <f t="shared" si="7"/>
        <v>2324.0849956380011</v>
      </c>
      <c r="AM169" s="9">
        <f t="shared" si="7"/>
        <v>2324.0849956380011</v>
      </c>
      <c r="AN169" s="9">
        <f t="shared" si="7"/>
        <v>2324.0849956380011</v>
      </c>
      <c r="AO169" s="9">
        <f t="shared" si="7"/>
        <v>2324.0849956380011</v>
      </c>
      <c r="AP169" s="9">
        <f t="shared" si="7"/>
        <v>2324.0849956380011</v>
      </c>
      <c r="AQ169" s="9">
        <f t="shared" si="7"/>
        <v>2324.0849956380011</v>
      </c>
      <c r="AR169" s="9">
        <f t="shared" si="7"/>
        <v>2324.0849956380011</v>
      </c>
      <c r="AS169" s="9">
        <f t="shared" si="7"/>
        <v>2324.0849956380011</v>
      </c>
      <c r="AT169" s="9">
        <f t="shared" si="7"/>
        <v>2324.0849956380011</v>
      </c>
      <c r="AU169" s="9">
        <f t="shared" si="7"/>
        <v>2324.0849956380011</v>
      </c>
      <c r="AV169" s="9">
        <f t="shared" si="7"/>
        <v>2324.0849956380011</v>
      </c>
      <c r="AW169" s="9">
        <f t="shared" si="7"/>
        <v>2324.0849956380011</v>
      </c>
      <c r="AX169" s="9">
        <f t="shared" si="7"/>
        <v>2324.0849956380011</v>
      </c>
      <c r="AY169" s="9">
        <f t="shared" si="7"/>
        <v>2324.0849956380011</v>
      </c>
      <c r="AZ169" s="9">
        <f t="shared" si="7"/>
        <v>2324.0849956380011</v>
      </c>
      <c r="BA169" s="9">
        <f t="shared" si="7"/>
        <v>2324.0849956380011</v>
      </c>
      <c r="BB169" s="9">
        <f t="shared" si="7"/>
        <v>2324.0849956380011</v>
      </c>
      <c r="BC169" s="9">
        <f t="shared" si="7"/>
        <v>2324.0849956380011</v>
      </c>
      <c r="BD169" s="9">
        <f t="shared" si="7"/>
        <v>2324.0849956380011</v>
      </c>
      <c r="BE169" s="9">
        <f t="shared" si="7"/>
        <v>2324.0849956380011</v>
      </c>
      <c r="BF169" s="9">
        <f t="shared" si="7"/>
        <v>2324.0849956380011</v>
      </c>
      <c r="BG169" s="9">
        <f t="shared" si="7"/>
        <v>2324.0849956380011</v>
      </c>
      <c r="BH169" s="9">
        <f t="shared" si="7"/>
        <v>2324.0849956380011</v>
      </c>
      <c r="BI169" s="9">
        <f t="shared" si="7"/>
        <v>2324.0849956380011</v>
      </c>
      <c r="BJ169" s="9">
        <f t="shared" si="7"/>
        <v>2324.0849956380011</v>
      </c>
      <c r="BK169" s="9">
        <f t="shared" si="7"/>
        <v>2324.0849956380011</v>
      </c>
      <c r="BL169" s="9">
        <f t="shared" si="7"/>
        <v>2324.0849956380011</v>
      </c>
      <c r="BM169" s="9">
        <f t="shared" si="7"/>
        <v>2324.0849956380011</v>
      </c>
      <c r="BN169" s="9">
        <f t="shared" si="7"/>
        <v>2324.0849956380011</v>
      </c>
      <c r="BO169" s="9">
        <f t="shared" si="7"/>
        <v>2324.0849956380011</v>
      </c>
      <c r="BP169" s="9">
        <f t="shared" si="7"/>
        <v>2324.0849956380011</v>
      </c>
      <c r="BQ169" s="9">
        <f t="shared" si="7"/>
        <v>2324.0849956380011</v>
      </c>
      <c r="BR169" s="9">
        <f t="shared" si="7"/>
        <v>2324.0849956380011</v>
      </c>
      <c r="BS169" s="9">
        <f t="shared" si="7"/>
        <v>2324.0849956380011</v>
      </c>
      <c r="BT169" s="9">
        <f t="shared" si="7"/>
        <v>2324.0849956380011</v>
      </c>
      <c r="BU169" s="9">
        <f t="shared" si="7"/>
        <v>2324.0849956380011</v>
      </c>
      <c r="BV169" s="9">
        <f t="shared" si="7"/>
        <v>2324.0849956380011</v>
      </c>
      <c r="BW169" s="9">
        <f t="shared" si="7"/>
        <v>2324.0849956380011</v>
      </c>
      <c r="BX169" s="9">
        <f t="shared" si="7"/>
        <v>2324.0849956380011</v>
      </c>
      <c r="BY169" s="9">
        <f t="shared" si="7"/>
        <v>2324.0849956380011</v>
      </c>
      <c r="BZ169" s="9">
        <f t="shared" si="7"/>
        <v>2324.0849956380011</v>
      </c>
      <c r="CA169" s="9">
        <f t="shared" si="7"/>
        <v>2324.0849956380011</v>
      </c>
      <c r="CB169" s="9">
        <f t="shared" si="7"/>
        <v>2324.0849956380011</v>
      </c>
      <c r="CC169" s="9">
        <f t="shared" ref="CC169:DA169" si="8">SUM($K$2:$K$82)</f>
        <v>2324.0849956380011</v>
      </c>
      <c r="CD169" s="9">
        <f t="shared" si="7"/>
        <v>2324.0849956380011</v>
      </c>
      <c r="CE169" s="9">
        <f t="shared" ref="CE169:DB169" si="9">SUM($K$2:$K$82)</f>
        <v>2324.0849956380011</v>
      </c>
      <c r="CF169" s="9">
        <f t="shared" si="9"/>
        <v>2324.0849956380011</v>
      </c>
      <c r="CG169" s="9">
        <f t="shared" si="8"/>
        <v>2324.0849956380011</v>
      </c>
      <c r="CH169" s="9">
        <f t="shared" si="9"/>
        <v>2324.0849956380011</v>
      </c>
      <c r="CI169" s="9">
        <f t="shared" si="9"/>
        <v>2324.0849956380011</v>
      </c>
      <c r="CJ169" s="9">
        <f t="shared" si="9"/>
        <v>2324.0849956380011</v>
      </c>
      <c r="CK169" s="9">
        <f t="shared" si="8"/>
        <v>2324.0849956380011</v>
      </c>
      <c r="CL169" s="9">
        <f t="shared" si="9"/>
        <v>2324.0849956380011</v>
      </c>
      <c r="CM169" s="9">
        <f t="shared" si="9"/>
        <v>2324.0849956380011</v>
      </c>
      <c r="CN169" s="9">
        <f t="shared" si="9"/>
        <v>2324.0849956380011</v>
      </c>
      <c r="CO169" s="9">
        <f t="shared" si="8"/>
        <v>2324.0849956380011</v>
      </c>
      <c r="CP169" s="9">
        <f t="shared" si="9"/>
        <v>2324.0849956380011</v>
      </c>
      <c r="CQ169" s="9">
        <f t="shared" si="9"/>
        <v>2324.0849956380011</v>
      </c>
      <c r="CR169" s="9">
        <f t="shared" si="9"/>
        <v>2324.0849956380011</v>
      </c>
      <c r="CS169" s="9">
        <f t="shared" si="8"/>
        <v>2324.0849956380011</v>
      </c>
      <c r="CT169" s="9">
        <f t="shared" si="9"/>
        <v>2324.0849956380011</v>
      </c>
      <c r="CU169" s="9">
        <f t="shared" si="9"/>
        <v>2324.0849956380011</v>
      </c>
      <c r="CV169" s="9">
        <f t="shared" si="9"/>
        <v>2324.0849956380011</v>
      </c>
      <c r="CW169" s="9">
        <f t="shared" si="8"/>
        <v>2324.0849956380011</v>
      </c>
      <c r="CX169" s="9">
        <f t="shared" si="9"/>
        <v>2324.0849956380011</v>
      </c>
      <c r="CY169" s="9">
        <f t="shared" si="9"/>
        <v>2324.0849956380011</v>
      </c>
      <c r="CZ169" s="9">
        <f t="shared" si="9"/>
        <v>2324.0849956380011</v>
      </c>
      <c r="DA169" s="9">
        <f t="shared" si="8"/>
        <v>2324.0849956380011</v>
      </c>
      <c r="DB169" s="9">
        <f t="shared" si="9"/>
        <v>2324.0849956380011</v>
      </c>
    </row>
    <row r="171" spans="11:106">
      <c r="O171" s="5" t="s">
        <v>0</v>
      </c>
      <c r="P171" s="9">
        <f t="shared" ref="P171:AU171" ca="1" si="10">P166/SUM(P$175:P$177)</f>
        <v>0.27500193164844111</v>
      </c>
      <c r="Q171" s="9">
        <f t="shared" ca="1" si="10"/>
        <v>0.30978683498828158</v>
      </c>
      <c r="R171" s="9">
        <f t="shared" ca="1" si="10"/>
        <v>0.30333878762898953</v>
      </c>
      <c r="S171" s="9">
        <f t="shared" ca="1" si="10"/>
        <v>0.27744155763234729</v>
      </c>
      <c r="T171" s="9">
        <f t="shared" ca="1" si="10"/>
        <v>0.30798562754376441</v>
      </c>
      <c r="U171" s="9">
        <f t="shared" ca="1" si="10"/>
        <v>0.33419305483168343</v>
      </c>
      <c r="V171" s="9">
        <f t="shared" ca="1" si="10"/>
        <v>0.3243765874845716</v>
      </c>
      <c r="W171" s="9">
        <f t="shared" ca="1" si="10"/>
        <v>0.32367051420549325</v>
      </c>
      <c r="X171" s="9" t="e">
        <f t="shared" si="10"/>
        <v>#VALUE!</v>
      </c>
      <c r="Y171" s="9" t="e">
        <f t="shared" si="10"/>
        <v>#VALUE!</v>
      </c>
      <c r="Z171" s="9" t="e">
        <f t="shared" si="10"/>
        <v>#VALUE!</v>
      </c>
      <c r="AA171" s="9" t="e">
        <f t="shared" si="10"/>
        <v>#VALUE!</v>
      </c>
      <c r="AB171" s="9" t="e">
        <f t="shared" si="10"/>
        <v>#VALUE!</v>
      </c>
      <c r="AC171" s="9" t="e">
        <f t="shared" si="10"/>
        <v>#VALUE!</v>
      </c>
      <c r="AD171" s="9" t="e">
        <f t="shared" si="10"/>
        <v>#VALUE!</v>
      </c>
      <c r="AE171" s="9" t="e">
        <f t="shared" si="10"/>
        <v>#VALUE!</v>
      </c>
      <c r="AF171" s="9" t="e">
        <f t="shared" si="10"/>
        <v>#VALUE!</v>
      </c>
      <c r="AG171" s="9" t="e">
        <f t="shared" si="10"/>
        <v>#VALUE!</v>
      </c>
      <c r="AH171" s="9" t="e">
        <f t="shared" si="10"/>
        <v>#VALUE!</v>
      </c>
      <c r="AI171" s="9" t="e">
        <f t="shared" si="10"/>
        <v>#VALUE!</v>
      </c>
      <c r="AJ171" s="9" t="e">
        <f t="shared" si="10"/>
        <v>#VALUE!</v>
      </c>
      <c r="AK171" s="9" t="e">
        <f t="shared" si="10"/>
        <v>#VALUE!</v>
      </c>
      <c r="AL171" s="9" t="e">
        <f t="shared" si="10"/>
        <v>#VALUE!</v>
      </c>
      <c r="AM171" s="9" t="e">
        <f t="shared" si="10"/>
        <v>#VALUE!</v>
      </c>
      <c r="AN171" s="9" t="e">
        <f t="shared" si="10"/>
        <v>#VALUE!</v>
      </c>
      <c r="AO171" s="9" t="e">
        <f t="shared" si="10"/>
        <v>#VALUE!</v>
      </c>
      <c r="AP171" s="9" t="e">
        <f t="shared" si="10"/>
        <v>#VALUE!</v>
      </c>
      <c r="AQ171" s="9" t="e">
        <f t="shared" si="10"/>
        <v>#VALUE!</v>
      </c>
      <c r="AR171" s="9" t="e">
        <f t="shared" si="10"/>
        <v>#VALUE!</v>
      </c>
      <c r="AS171" s="9" t="e">
        <f t="shared" si="10"/>
        <v>#VALUE!</v>
      </c>
      <c r="AT171" s="9" t="e">
        <f t="shared" si="10"/>
        <v>#VALUE!</v>
      </c>
      <c r="AU171" s="9" t="e">
        <f t="shared" si="10"/>
        <v>#VALUE!</v>
      </c>
      <c r="AV171" s="9" t="e">
        <f t="shared" ref="AV171:CC171" si="11">AV166/SUM(AV$175:AV$177)</f>
        <v>#VALUE!</v>
      </c>
      <c r="AW171" s="9" t="e">
        <f t="shared" si="11"/>
        <v>#VALUE!</v>
      </c>
      <c r="AX171" s="9" t="e">
        <f t="shared" si="11"/>
        <v>#VALUE!</v>
      </c>
      <c r="AY171" s="9" t="e">
        <f t="shared" si="11"/>
        <v>#VALUE!</v>
      </c>
      <c r="AZ171" s="9" t="e">
        <f t="shared" si="11"/>
        <v>#VALUE!</v>
      </c>
      <c r="BA171" s="9" t="e">
        <f t="shared" si="11"/>
        <v>#VALUE!</v>
      </c>
      <c r="BB171" s="9" t="e">
        <f t="shared" si="11"/>
        <v>#VALUE!</v>
      </c>
      <c r="BC171" s="9" t="e">
        <f t="shared" si="11"/>
        <v>#VALUE!</v>
      </c>
      <c r="BD171" s="9" t="e">
        <f t="shared" si="11"/>
        <v>#VALUE!</v>
      </c>
      <c r="BE171" s="9" t="e">
        <f t="shared" si="11"/>
        <v>#VALUE!</v>
      </c>
      <c r="BF171" s="9" t="e">
        <f t="shared" si="11"/>
        <v>#VALUE!</v>
      </c>
      <c r="BG171" s="9" t="e">
        <f t="shared" si="11"/>
        <v>#VALUE!</v>
      </c>
      <c r="BH171" s="9" t="e">
        <f t="shared" si="11"/>
        <v>#VALUE!</v>
      </c>
      <c r="BI171" s="9" t="e">
        <f t="shared" si="11"/>
        <v>#VALUE!</v>
      </c>
      <c r="BJ171" s="9" t="e">
        <f t="shared" si="11"/>
        <v>#VALUE!</v>
      </c>
      <c r="BK171" s="9" t="e">
        <f t="shared" si="11"/>
        <v>#VALUE!</v>
      </c>
      <c r="BL171" s="9" t="e">
        <f t="shared" si="11"/>
        <v>#VALUE!</v>
      </c>
      <c r="BM171" s="9" t="e">
        <f t="shared" si="11"/>
        <v>#VALUE!</v>
      </c>
      <c r="BN171" s="9" t="e">
        <f t="shared" si="11"/>
        <v>#VALUE!</v>
      </c>
      <c r="BO171" s="9" t="e">
        <f t="shared" si="11"/>
        <v>#VALUE!</v>
      </c>
      <c r="BP171" s="9" t="e">
        <f t="shared" si="11"/>
        <v>#VALUE!</v>
      </c>
      <c r="BQ171" s="9" t="e">
        <f t="shared" si="11"/>
        <v>#VALUE!</v>
      </c>
      <c r="BR171" s="9" t="e">
        <f t="shared" si="11"/>
        <v>#VALUE!</v>
      </c>
      <c r="BS171" s="9" t="e">
        <f t="shared" si="11"/>
        <v>#VALUE!</v>
      </c>
      <c r="BT171" s="9" t="e">
        <f t="shared" si="11"/>
        <v>#VALUE!</v>
      </c>
      <c r="BU171" s="9" t="e">
        <f t="shared" si="11"/>
        <v>#VALUE!</v>
      </c>
      <c r="BV171" s="9" t="e">
        <f t="shared" si="11"/>
        <v>#VALUE!</v>
      </c>
      <c r="BW171" s="9" t="e">
        <f t="shared" si="11"/>
        <v>#VALUE!</v>
      </c>
      <c r="BX171" s="9" t="e">
        <f t="shared" si="11"/>
        <v>#VALUE!</v>
      </c>
      <c r="BY171" s="9" t="e">
        <f t="shared" si="11"/>
        <v>#VALUE!</v>
      </c>
      <c r="BZ171" s="9" t="e">
        <f t="shared" si="11"/>
        <v>#VALUE!</v>
      </c>
      <c r="CA171" s="9" t="e">
        <f t="shared" si="11"/>
        <v>#VALUE!</v>
      </c>
      <c r="CB171" s="9" t="e">
        <f t="shared" si="11"/>
        <v>#VALUE!</v>
      </c>
      <c r="CC171" s="9" t="e">
        <f t="shared" si="11"/>
        <v>#VALUE!</v>
      </c>
      <c r="CD171" s="9" t="e">
        <f t="shared" ref="CD171:DB171" si="12">CD166/SUM(CD$175:CD$177)</f>
        <v>#VALUE!</v>
      </c>
      <c r="CE171" s="9" t="e">
        <f t="shared" si="12"/>
        <v>#VALUE!</v>
      </c>
      <c r="CF171" s="9" t="e">
        <f t="shared" si="12"/>
        <v>#VALUE!</v>
      </c>
      <c r="CG171" s="9" t="e">
        <f t="shared" si="12"/>
        <v>#VALUE!</v>
      </c>
      <c r="CH171" s="9" t="e">
        <f t="shared" si="12"/>
        <v>#VALUE!</v>
      </c>
      <c r="CI171" s="9" t="e">
        <f t="shared" si="12"/>
        <v>#VALUE!</v>
      </c>
      <c r="CJ171" s="9" t="e">
        <f t="shared" si="12"/>
        <v>#VALUE!</v>
      </c>
      <c r="CK171" s="9" t="e">
        <f t="shared" si="12"/>
        <v>#VALUE!</v>
      </c>
      <c r="CL171" s="9" t="e">
        <f t="shared" si="12"/>
        <v>#VALUE!</v>
      </c>
      <c r="CM171" s="9" t="e">
        <f t="shared" si="12"/>
        <v>#VALUE!</v>
      </c>
      <c r="CN171" s="9" t="e">
        <f t="shared" si="12"/>
        <v>#VALUE!</v>
      </c>
      <c r="CO171" s="9" t="e">
        <f t="shared" si="12"/>
        <v>#VALUE!</v>
      </c>
      <c r="CP171" s="9" t="e">
        <f t="shared" si="12"/>
        <v>#VALUE!</v>
      </c>
      <c r="CQ171" s="9" t="e">
        <f t="shared" si="12"/>
        <v>#VALUE!</v>
      </c>
      <c r="CR171" s="9" t="e">
        <f t="shared" si="12"/>
        <v>#VALUE!</v>
      </c>
      <c r="CS171" s="9" t="e">
        <f t="shared" si="12"/>
        <v>#VALUE!</v>
      </c>
      <c r="CT171" s="9" t="e">
        <f t="shared" si="12"/>
        <v>#VALUE!</v>
      </c>
      <c r="CU171" s="9" t="e">
        <f t="shared" si="12"/>
        <v>#VALUE!</v>
      </c>
      <c r="CV171" s="9" t="e">
        <f t="shared" si="12"/>
        <v>#VALUE!</v>
      </c>
      <c r="CW171" s="9" t="e">
        <f t="shared" si="12"/>
        <v>#VALUE!</v>
      </c>
      <c r="CX171" s="9" t="e">
        <f t="shared" si="12"/>
        <v>#VALUE!</v>
      </c>
      <c r="CY171" s="9" t="e">
        <f t="shared" si="12"/>
        <v>#VALUE!</v>
      </c>
      <c r="CZ171" s="9" t="e">
        <f t="shared" si="12"/>
        <v>#VALUE!</v>
      </c>
      <c r="DA171" s="9" t="e">
        <f t="shared" si="12"/>
        <v>#VALUE!</v>
      </c>
      <c r="DB171" s="9" t="e">
        <f t="shared" si="12"/>
        <v>#VALUE!</v>
      </c>
    </row>
    <row r="172" spans="11:106">
      <c r="O172" s="5" t="s">
        <v>1</v>
      </c>
      <c r="P172" s="9">
        <f t="shared" ref="P172:AU172" ca="1" si="13">P167/SUM(P$175:P$177)</f>
        <v>0.30356816662469127</v>
      </c>
      <c r="Q172" s="9">
        <f t="shared" ca="1" si="13"/>
        <v>0.33149878049876536</v>
      </c>
      <c r="R172" s="9">
        <f t="shared" ca="1" si="13"/>
        <v>0.32770499772139766</v>
      </c>
      <c r="S172" s="9">
        <f t="shared" ca="1" si="13"/>
        <v>0.31774988902553697</v>
      </c>
      <c r="T172" s="9">
        <f t="shared" ca="1" si="13"/>
        <v>0.34009612824204888</v>
      </c>
      <c r="U172" s="9">
        <f t="shared" ca="1" si="13"/>
        <v>0.35568096533589244</v>
      </c>
      <c r="V172" s="9">
        <f t="shared" ca="1" si="13"/>
        <v>0.34096725594245769</v>
      </c>
      <c r="W172" s="9">
        <f t="shared" ca="1" si="13"/>
        <v>0.34002674858770243</v>
      </c>
      <c r="X172" s="9" t="e">
        <f t="shared" si="13"/>
        <v>#VALUE!</v>
      </c>
      <c r="Y172" s="9" t="e">
        <f t="shared" si="13"/>
        <v>#VALUE!</v>
      </c>
      <c r="Z172" s="9" t="e">
        <f t="shared" si="13"/>
        <v>#VALUE!</v>
      </c>
      <c r="AA172" s="9" t="e">
        <f t="shared" si="13"/>
        <v>#VALUE!</v>
      </c>
      <c r="AB172" s="9" t="e">
        <f t="shared" si="13"/>
        <v>#VALUE!</v>
      </c>
      <c r="AC172" s="9" t="e">
        <f t="shared" si="13"/>
        <v>#VALUE!</v>
      </c>
      <c r="AD172" s="9" t="e">
        <f t="shared" si="13"/>
        <v>#VALUE!</v>
      </c>
      <c r="AE172" s="9" t="e">
        <f t="shared" si="13"/>
        <v>#VALUE!</v>
      </c>
      <c r="AF172" s="9" t="e">
        <f t="shared" si="13"/>
        <v>#VALUE!</v>
      </c>
      <c r="AG172" s="9" t="e">
        <f t="shared" si="13"/>
        <v>#VALUE!</v>
      </c>
      <c r="AH172" s="9" t="e">
        <f t="shared" si="13"/>
        <v>#VALUE!</v>
      </c>
      <c r="AI172" s="9" t="e">
        <f t="shared" si="13"/>
        <v>#VALUE!</v>
      </c>
      <c r="AJ172" s="9" t="e">
        <f t="shared" si="13"/>
        <v>#VALUE!</v>
      </c>
      <c r="AK172" s="9" t="e">
        <f t="shared" si="13"/>
        <v>#VALUE!</v>
      </c>
      <c r="AL172" s="9" t="e">
        <f t="shared" si="13"/>
        <v>#VALUE!</v>
      </c>
      <c r="AM172" s="9" t="e">
        <f t="shared" si="13"/>
        <v>#VALUE!</v>
      </c>
      <c r="AN172" s="9" t="e">
        <f t="shared" si="13"/>
        <v>#VALUE!</v>
      </c>
      <c r="AO172" s="9" t="e">
        <f t="shared" si="13"/>
        <v>#VALUE!</v>
      </c>
      <c r="AP172" s="9" t="e">
        <f t="shared" si="13"/>
        <v>#VALUE!</v>
      </c>
      <c r="AQ172" s="9" t="e">
        <f t="shared" si="13"/>
        <v>#VALUE!</v>
      </c>
      <c r="AR172" s="9" t="e">
        <f t="shared" si="13"/>
        <v>#VALUE!</v>
      </c>
      <c r="AS172" s="9" t="e">
        <f t="shared" si="13"/>
        <v>#VALUE!</v>
      </c>
      <c r="AT172" s="9" t="e">
        <f t="shared" si="13"/>
        <v>#VALUE!</v>
      </c>
      <c r="AU172" s="9" t="e">
        <f t="shared" si="13"/>
        <v>#VALUE!</v>
      </c>
      <c r="AV172" s="9" t="e">
        <f t="shared" ref="AV172:CC172" si="14">AV167/SUM(AV$175:AV$177)</f>
        <v>#VALUE!</v>
      </c>
      <c r="AW172" s="9" t="e">
        <f t="shared" si="14"/>
        <v>#VALUE!</v>
      </c>
      <c r="AX172" s="9" t="e">
        <f t="shared" si="14"/>
        <v>#VALUE!</v>
      </c>
      <c r="AY172" s="9" t="e">
        <f t="shared" si="14"/>
        <v>#VALUE!</v>
      </c>
      <c r="AZ172" s="9" t="e">
        <f t="shared" si="14"/>
        <v>#VALUE!</v>
      </c>
      <c r="BA172" s="9" t="e">
        <f t="shared" si="14"/>
        <v>#VALUE!</v>
      </c>
      <c r="BB172" s="9" t="e">
        <f t="shared" si="14"/>
        <v>#VALUE!</v>
      </c>
      <c r="BC172" s="9" t="e">
        <f t="shared" si="14"/>
        <v>#VALUE!</v>
      </c>
      <c r="BD172" s="9" t="e">
        <f t="shared" si="14"/>
        <v>#VALUE!</v>
      </c>
      <c r="BE172" s="9" t="e">
        <f t="shared" si="14"/>
        <v>#VALUE!</v>
      </c>
      <c r="BF172" s="9" t="e">
        <f t="shared" si="14"/>
        <v>#VALUE!</v>
      </c>
      <c r="BG172" s="9" t="e">
        <f t="shared" si="14"/>
        <v>#VALUE!</v>
      </c>
      <c r="BH172" s="9" t="e">
        <f t="shared" si="14"/>
        <v>#VALUE!</v>
      </c>
      <c r="BI172" s="9" t="e">
        <f t="shared" si="14"/>
        <v>#VALUE!</v>
      </c>
      <c r="BJ172" s="9" t="e">
        <f t="shared" si="14"/>
        <v>#VALUE!</v>
      </c>
      <c r="BK172" s="9" t="e">
        <f t="shared" si="14"/>
        <v>#VALUE!</v>
      </c>
      <c r="BL172" s="9" t="e">
        <f t="shared" si="14"/>
        <v>#VALUE!</v>
      </c>
      <c r="BM172" s="9" t="e">
        <f t="shared" si="14"/>
        <v>#VALUE!</v>
      </c>
      <c r="BN172" s="9" t="e">
        <f t="shared" si="14"/>
        <v>#VALUE!</v>
      </c>
      <c r="BO172" s="9" t="e">
        <f t="shared" si="14"/>
        <v>#VALUE!</v>
      </c>
      <c r="BP172" s="9" t="e">
        <f t="shared" si="14"/>
        <v>#VALUE!</v>
      </c>
      <c r="BQ172" s="9" t="e">
        <f t="shared" si="14"/>
        <v>#VALUE!</v>
      </c>
      <c r="BR172" s="9" t="e">
        <f t="shared" si="14"/>
        <v>#VALUE!</v>
      </c>
      <c r="BS172" s="9" t="e">
        <f t="shared" si="14"/>
        <v>#VALUE!</v>
      </c>
      <c r="BT172" s="9" t="e">
        <f t="shared" si="14"/>
        <v>#VALUE!</v>
      </c>
      <c r="BU172" s="9" t="e">
        <f t="shared" si="14"/>
        <v>#VALUE!</v>
      </c>
      <c r="BV172" s="9" t="e">
        <f t="shared" si="14"/>
        <v>#VALUE!</v>
      </c>
      <c r="BW172" s="9" t="e">
        <f t="shared" si="14"/>
        <v>#VALUE!</v>
      </c>
      <c r="BX172" s="9" t="e">
        <f t="shared" si="14"/>
        <v>#VALUE!</v>
      </c>
      <c r="BY172" s="9" t="e">
        <f t="shared" si="14"/>
        <v>#VALUE!</v>
      </c>
      <c r="BZ172" s="9" t="e">
        <f t="shared" si="14"/>
        <v>#VALUE!</v>
      </c>
      <c r="CA172" s="9" t="e">
        <f t="shared" si="14"/>
        <v>#VALUE!</v>
      </c>
      <c r="CB172" s="9" t="e">
        <f t="shared" si="14"/>
        <v>#VALUE!</v>
      </c>
      <c r="CC172" s="9" t="e">
        <f t="shared" si="14"/>
        <v>#VALUE!</v>
      </c>
      <c r="CD172" s="9" t="e">
        <f t="shared" ref="CD172:DB172" si="15">CD167/SUM(CD$175:CD$177)</f>
        <v>#VALUE!</v>
      </c>
      <c r="CE172" s="9" t="e">
        <f t="shared" si="15"/>
        <v>#VALUE!</v>
      </c>
      <c r="CF172" s="9" t="e">
        <f t="shared" si="15"/>
        <v>#VALUE!</v>
      </c>
      <c r="CG172" s="9" t="e">
        <f t="shared" si="15"/>
        <v>#VALUE!</v>
      </c>
      <c r="CH172" s="9" t="e">
        <f t="shared" si="15"/>
        <v>#VALUE!</v>
      </c>
      <c r="CI172" s="9" t="e">
        <f t="shared" si="15"/>
        <v>#VALUE!</v>
      </c>
      <c r="CJ172" s="9" t="e">
        <f t="shared" si="15"/>
        <v>#VALUE!</v>
      </c>
      <c r="CK172" s="9" t="e">
        <f t="shared" si="15"/>
        <v>#VALUE!</v>
      </c>
      <c r="CL172" s="9" t="e">
        <f t="shared" si="15"/>
        <v>#VALUE!</v>
      </c>
      <c r="CM172" s="9" t="e">
        <f t="shared" si="15"/>
        <v>#VALUE!</v>
      </c>
      <c r="CN172" s="9" t="e">
        <f t="shared" si="15"/>
        <v>#VALUE!</v>
      </c>
      <c r="CO172" s="9" t="e">
        <f t="shared" si="15"/>
        <v>#VALUE!</v>
      </c>
      <c r="CP172" s="9" t="e">
        <f t="shared" si="15"/>
        <v>#VALUE!</v>
      </c>
      <c r="CQ172" s="9" t="e">
        <f t="shared" si="15"/>
        <v>#VALUE!</v>
      </c>
      <c r="CR172" s="9" t="e">
        <f t="shared" si="15"/>
        <v>#VALUE!</v>
      </c>
      <c r="CS172" s="9" t="e">
        <f t="shared" si="15"/>
        <v>#VALUE!</v>
      </c>
      <c r="CT172" s="9" t="e">
        <f t="shared" si="15"/>
        <v>#VALUE!</v>
      </c>
      <c r="CU172" s="9" t="e">
        <f t="shared" si="15"/>
        <v>#VALUE!</v>
      </c>
      <c r="CV172" s="9" t="e">
        <f t="shared" si="15"/>
        <v>#VALUE!</v>
      </c>
      <c r="CW172" s="9" t="e">
        <f t="shared" si="15"/>
        <v>#VALUE!</v>
      </c>
      <c r="CX172" s="9" t="e">
        <f t="shared" si="15"/>
        <v>#VALUE!</v>
      </c>
      <c r="CY172" s="9" t="e">
        <f t="shared" si="15"/>
        <v>#VALUE!</v>
      </c>
      <c r="CZ172" s="9" t="e">
        <f t="shared" si="15"/>
        <v>#VALUE!</v>
      </c>
      <c r="DA172" s="9" t="e">
        <f t="shared" si="15"/>
        <v>#VALUE!</v>
      </c>
      <c r="DB172" s="9" t="e">
        <f t="shared" si="15"/>
        <v>#VALUE!</v>
      </c>
    </row>
    <row r="173" spans="11:106">
      <c r="O173" s="5" t="s">
        <v>19</v>
      </c>
      <c r="P173" s="9">
        <f t="shared" ref="P173:AU173" ca="1" si="16">P167</f>
        <v>0.69384458019557238</v>
      </c>
      <c r="Q173" s="9">
        <f t="shared" ca="1" si="16"/>
        <v>0.81885632067890479</v>
      </c>
      <c r="R173" s="9">
        <f t="shared" ca="1" si="16"/>
        <v>0.6750649204084388</v>
      </c>
      <c r="S173" s="9">
        <f t="shared" ca="1" si="16"/>
        <v>0.63561816629572965</v>
      </c>
      <c r="T173" s="9">
        <f t="shared" ca="1" si="16"/>
        <v>0.70503650237327375</v>
      </c>
      <c r="U173" s="9">
        <f t="shared" ca="1" si="16"/>
        <v>0.66127752046829413</v>
      </c>
      <c r="V173" s="9">
        <f t="shared" ca="1" si="16"/>
        <v>0.84473092707434039</v>
      </c>
      <c r="W173" s="9">
        <f t="shared" ca="1" si="16"/>
        <v>0.83635917409462968</v>
      </c>
      <c r="X173" s="9" t="e">
        <f t="shared" si="16"/>
        <v>#VALUE!</v>
      </c>
      <c r="Y173" s="9" t="e">
        <f t="shared" si="16"/>
        <v>#VALUE!</v>
      </c>
      <c r="Z173" s="9" t="e">
        <f t="shared" si="16"/>
        <v>#VALUE!</v>
      </c>
      <c r="AA173" s="9" t="e">
        <f t="shared" si="16"/>
        <v>#VALUE!</v>
      </c>
      <c r="AB173" s="9" t="e">
        <f t="shared" si="16"/>
        <v>#VALUE!</v>
      </c>
      <c r="AC173" s="9" t="e">
        <f t="shared" si="16"/>
        <v>#VALUE!</v>
      </c>
      <c r="AD173" s="9" t="e">
        <f t="shared" si="16"/>
        <v>#VALUE!</v>
      </c>
      <c r="AE173" s="9" t="e">
        <f t="shared" si="16"/>
        <v>#VALUE!</v>
      </c>
      <c r="AF173" s="9" t="e">
        <f t="shared" si="16"/>
        <v>#VALUE!</v>
      </c>
      <c r="AG173" s="9" t="e">
        <f t="shared" si="16"/>
        <v>#VALUE!</v>
      </c>
      <c r="AH173" s="9" t="e">
        <f t="shared" si="16"/>
        <v>#VALUE!</v>
      </c>
      <c r="AI173" s="9" t="e">
        <f t="shared" si="16"/>
        <v>#VALUE!</v>
      </c>
      <c r="AJ173" s="9" t="e">
        <f t="shared" si="16"/>
        <v>#VALUE!</v>
      </c>
      <c r="AK173" s="9" t="e">
        <f t="shared" si="16"/>
        <v>#VALUE!</v>
      </c>
      <c r="AL173" s="9" t="e">
        <f t="shared" si="16"/>
        <v>#VALUE!</v>
      </c>
      <c r="AM173" s="9" t="e">
        <f t="shared" si="16"/>
        <v>#VALUE!</v>
      </c>
      <c r="AN173" s="9" t="e">
        <f t="shared" si="16"/>
        <v>#VALUE!</v>
      </c>
      <c r="AO173" s="9" t="e">
        <f t="shared" si="16"/>
        <v>#VALUE!</v>
      </c>
      <c r="AP173" s="9" t="e">
        <f t="shared" si="16"/>
        <v>#VALUE!</v>
      </c>
      <c r="AQ173" s="9" t="e">
        <f t="shared" si="16"/>
        <v>#VALUE!</v>
      </c>
      <c r="AR173" s="9" t="e">
        <f t="shared" si="16"/>
        <v>#VALUE!</v>
      </c>
      <c r="AS173" s="9" t="e">
        <f t="shared" si="16"/>
        <v>#VALUE!</v>
      </c>
      <c r="AT173" s="9" t="e">
        <f t="shared" si="16"/>
        <v>#VALUE!</v>
      </c>
      <c r="AU173" s="9" t="e">
        <f t="shared" si="16"/>
        <v>#VALUE!</v>
      </c>
      <c r="AV173" s="9" t="e">
        <f t="shared" ref="AV173:CC173" si="17">AV167</f>
        <v>#VALUE!</v>
      </c>
      <c r="AW173" s="9" t="e">
        <f t="shared" si="17"/>
        <v>#VALUE!</v>
      </c>
      <c r="AX173" s="9" t="e">
        <f t="shared" si="17"/>
        <v>#VALUE!</v>
      </c>
      <c r="AY173" s="9" t="e">
        <f t="shared" si="17"/>
        <v>#VALUE!</v>
      </c>
      <c r="AZ173" s="9" t="e">
        <f t="shared" si="17"/>
        <v>#VALUE!</v>
      </c>
      <c r="BA173" s="9" t="e">
        <f t="shared" si="17"/>
        <v>#VALUE!</v>
      </c>
      <c r="BB173" s="9" t="e">
        <f t="shared" si="17"/>
        <v>#VALUE!</v>
      </c>
      <c r="BC173" s="9" t="e">
        <f t="shared" si="17"/>
        <v>#VALUE!</v>
      </c>
      <c r="BD173" s="9" t="e">
        <f t="shared" si="17"/>
        <v>#VALUE!</v>
      </c>
      <c r="BE173" s="9" t="e">
        <f t="shared" si="17"/>
        <v>#VALUE!</v>
      </c>
      <c r="BF173" s="9" t="e">
        <f t="shared" si="17"/>
        <v>#VALUE!</v>
      </c>
      <c r="BG173" s="9" t="e">
        <f t="shared" si="17"/>
        <v>#VALUE!</v>
      </c>
      <c r="BH173" s="9" t="e">
        <f t="shared" si="17"/>
        <v>#VALUE!</v>
      </c>
      <c r="BI173" s="9" t="e">
        <f t="shared" si="17"/>
        <v>#VALUE!</v>
      </c>
      <c r="BJ173" s="9" t="e">
        <f t="shared" si="17"/>
        <v>#VALUE!</v>
      </c>
      <c r="BK173" s="9" t="e">
        <f t="shared" si="17"/>
        <v>#VALUE!</v>
      </c>
      <c r="BL173" s="9" t="e">
        <f t="shared" si="17"/>
        <v>#VALUE!</v>
      </c>
      <c r="BM173" s="9" t="e">
        <f t="shared" si="17"/>
        <v>#VALUE!</v>
      </c>
      <c r="BN173" s="9" t="e">
        <f t="shared" si="17"/>
        <v>#VALUE!</v>
      </c>
      <c r="BO173" s="9" t="e">
        <f t="shared" si="17"/>
        <v>#VALUE!</v>
      </c>
      <c r="BP173" s="9" t="e">
        <f t="shared" si="17"/>
        <v>#VALUE!</v>
      </c>
      <c r="BQ173" s="9" t="e">
        <f t="shared" si="17"/>
        <v>#VALUE!</v>
      </c>
      <c r="BR173" s="9" t="e">
        <f t="shared" si="17"/>
        <v>#VALUE!</v>
      </c>
      <c r="BS173" s="9" t="e">
        <f t="shared" si="17"/>
        <v>#VALUE!</v>
      </c>
      <c r="BT173" s="9" t="e">
        <f t="shared" si="17"/>
        <v>#VALUE!</v>
      </c>
      <c r="BU173" s="9" t="e">
        <f t="shared" si="17"/>
        <v>#VALUE!</v>
      </c>
      <c r="BV173" s="9" t="e">
        <f t="shared" si="17"/>
        <v>#VALUE!</v>
      </c>
      <c r="BW173" s="9" t="e">
        <f t="shared" si="17"/>
        <v>#VALUE!</v>
      </c>
      <c r="BX173" s="9" t="e">
        <f t="shared" si="17"/>
        <v>#VALUE!</v>
      </c>
      <c r="BY173" s="9" t="e">
        <f t="shared" si="17"/>
        <v>#VALUE!</v>
      </c>
      <c r="BZ173" s="9" t="e">
        <f t="shared" si="17"/>
        <v>#VALUE!</v>
      </c>
      <c r="CA173" s="9" t="e">
        <f t="shared" si="17"/>
        <v>#VALUE!</v>
      </c>
      <c r="CB173" s="9" t="e">
        <f t="shared" si="17"/>
        <v>#VALUE!</v>
      </c>
      <c r="CC173" s="9" t="e">
        <f t="shared" si="17"/>
        <v>#VALUE!</v>
      </c>
      <c r="CD173" s="9" t="e">
        <f t="shared" ref="CD173:DB173" si="18">CD167</f>
        <v>#VALUE!</v>
      </c>
      <c r="CE173" s="9" t="e">
        <f t="shared" si="18"/>
        <v>#VALUE!</v>
      </c>
      <c r="CF173" s="9" t="e">
        <f t="shared" si="18"/>
        <v>#VALUE!</v>
      </c>
      <c r="CG173" s="9" t="e">
        <f t="shared" si="18"/>
        <v>#VALUE!</v>
      </c>
      <c r="CH173" s="9" t="e">
        <f t="shared" si="18"/>
        <v>#VALUE!</v>
      </c>
      <c r="CI173" s="9" t="e">
        <f t="shared" si="18"/>
        <v>#VALUE!</v>
      </c>
      <c r="CJ173" s="9" t="e">
        <f t="shared" si="18"/>
        <v>#VALUE!</v>
      </c>
      <c r="CK173" s="9" t="e">
        <f t="shared" si="18"/>
        <v>#VALUE!</v>
      </c>
      <c r="CL173" s="9" t="e">
        <f t="shared" si="18"/>
        <v>#VALUE!</v>
      </c>
      <c r="CM173" s="9" t="e">
        <f t="shared" si="18"/>
        <v>#VALUE!</v>
      </c>
      <c r="CN173" s="9" t="e">
        <f t="shared" si="18"/>
        <v>#VALUE!</v>
      </c>
      <c r="CO173" s="9" t="e">
        <f t="shared" si="18"/>
        <v>#VALUE!</v>
      </c>
      <c r="CP173" s="9" t="e">
        <f t="shared" si="18"/>
        <v>#VALUE!</v>
      </c>
      <c r="CQ173" s="9" t="e">
        <f t="shared" si="18"/>
        <v>#VALUE!</v>
      </c>
      <c r="CR173" s="9" t="e">
        <f t="shared" si="18"/>
        <v>#VALUE!</v>
      </c>
      <c r="CS173" s="9" t="e">
        <f t="shared" si="18"/>
        <v>#VALUE!</v>
      </c>
      <c r="CT173" s="9" t="e">
        <f t="shared" si="18"/>
        <v>#VALUE!</v>
      </c>
      <c r="CU173" s="9" t="e">
        <f t="shared" si="18"/>
        <v>#VALUE!</v>
      </c>
      <c r="CV173" s="9" t="e">
        <f t="shared" si="18"/>
        <v>#VALUE!</v>
      </c>
      <c r="CW173" s="9" t="e">
        <f t="shared" si="18"/>
        <v>#VALUE!</v>
      </c>
      <c r="CX173" s="9" t="e">
        <f t="shared" si="18"/>
        <v>#VALUE!</v>
      </c>
      <c r="CY173" s="9" t="e">
        <f t="shared" si="18"/>
        <v>#VALUE!</v>
      </c>
      <c r="CZ173" s="9" t="e">
        <f t="shared" si="18"/>
        <v>#VALUE!</v>
      </c>
      <c r="DA173" s="9" t="e">
        <f t="shared" si="18"/>
        <v>#VALUE!</v>
      </c>
      <c r="DB173" s="9" t="e">
        <f t="shared" si="18"/>
        <v>#VALUE!</v>
      </c>
    </row>
    <row r="175" spans="11:106">
      <c r="O175" t="s">
        <v>18</v>
      </c>
      <c r="P175" cm="1">
        <f t="array" aca="1" ref="P175" ca="1">MMULT(TRANSPOSE($J$2:$J$82),P$84:P$164)/P178/$J183</f>
        <v>0.63011205533039971</v>
      </c>
      <c r="Q175" cm="1">
        <f t="array" aca="1" ref="Q175" ca="1">MMULT(TRANSPOSE($J$2:$J$82),Q$84:Q$164)/Q178/$J183</f>
        <v>0.76712263949188053</v>
      </c>
      <c r="R175" cm="1">
        <f t="array" aca="1" ref="R175" ca="1">MMULT(TRANSPOSE($J$2:$J$82),R$84:R$164)/R178/$J183</f>
        <v>0.62642126796848019</v>
      </c>
      <c r="S175" cm="1">
        <f t="array" aca="1" ref="S175" ca="1">MMULT(TRANSPOSE($J$2:$J$82),S$84:S$164)/S178/$J183</f>
        <v>0.55636330628633879</v>
      </c>
      <c r="T175" cm="1">
        <f t="array" aca="1" ref="T175" ca="1">MMULT(TRANSPOSE($J$2:$J$82),T$84:T$164)/T178/$J183</f>
        <v>0.640053735765723</v>
      </c>
      <c r="U175" cm="1">
        <f t="array" aca="1" ref="U175" ca="1">MMULT(TRANSPOSE($J$2:$J$82),U$84:U$164)/U178/$J183</f>
        <v>0.6228688719030111</v>
      </c>
      <c r="V175" cm="1">
        <f t="array" aca="1" ref="V175" ca="1">MMULT(TRANSPOSE($J$2:$J$82),V$84:V$164)/V178/$J183</f>
        <v>0.80562195400433678</v>
      </c>
      <c r="W175" cm="1">
        <f t="array" aca="1" ref="W175" ca="1">MMULT(TRANSPOSE($J$2:$J$82),W$84:W$164)/W178/$J183</f>
        <v>0.79810301592437893</v>
      </c>
      <c r="X175" t="e" cm="1">
        <f t="array" ref="X175">MMULT(TRANSPOSE($J$2:$J$82),X$84:X$164)/X178/$J183</f>
        <v>#VALUE!</v>
      </c>
      <c r="Y175" t="e" cm="1">
        <f t="array" ref="Y175">MMULT(TRANSPOSE($J$2:$J$82),Y$84:Y$164)/Y178/$J183</f>
        <v>#VALUE!</v>
      </c>
      <c r="Z175" t="e" cm="1">
        <f t="array" ref="Z175">MMULT(TRANSPOSE($J$2:$J$82),Z$84:Z$164)/Z178/$J183</f>
        <v>#VALUE!</v>
      </c>
      <c r="AA175" t="e" cm="1">
        <f t="array" ref="AA175">MMULT(TRANSPOSE($J$2:$J$82),AA$84:AA$164)/AA178/$J183</f>
        <v>#VALUE!</v>
      </c>
      <c r="AB175" t="e" cm="1">
        <f t="array" ref="AB175">MMULT(TRANSPOSE($J$2:$J$82),AB$84:AB$164)/AB178/$J183</f>
        <v>#VALUE!</v>
      </c>
      <c r="AC175" t="e" cm="1">
        <f t="array" ref="AC175">MMULT(TRANSPOSE($J$2:$J$82),AC$84:AC$164)/AC178/$J183</f>
        <v>#VALUE!</v>
      </c>
      <c r="AD175" t="e" cm="1">
        <f t="array" ref="AD175">MMULT(TRANSPOSE($J$2:$J$82),AD$84:AD$164)/AD178/$J183</f>
        <v>#VALUE!</v>
      </c>
      <c r="AE175" t="e" cm="1">
        <f t="array" ref="AE175">MMULT(TRANSPOSE($J$2:$J$82),AE$84:AE$164)/AE178/$J183</f>
        <v>#VALUE!</v>
      </c>
      <c r="AF175" t="e" cm="1">
        <f t="array" ref="AF175">MMULT(TRANSPOSE($J$2:$J$82),AF$84:AF$164)/AF178/$J183</f>
        <v>#VALUE!</v>
      </c>
      <c r="AG175" t="e" cm="1">
        <f t="array" ref="AG175">MMULT(TRANSPOSE($J$2:$J$82),AG$84:AG$164)/AG178/$J183</f>
        <v>#VALUE!</v>
      </c>
      <c r="AH175" t="e" cm="1">
        <f t="array" ref="AH175">MMULT(TRANSPOSE($J$2:$J$82),AH$84:AH$164)/AH178/$J183</f>
        <v>#VALUE!</v>
      </c>
      <c r="AI175" t="e" cm="1">
        <f t="array" ref="AI175">MMULT(TRANSPOSE($J$2:$J$82),AI$84:AI$164)/AI178/$J183</f>
        <v>#VALUE!</v>
      </c>
      <c r="AJ175" t="e" cm="1">
        <f t="array" ref="AJ175">MMULT(TRANSPOSE($J$2:$J$82),AJ$84:AJ$164)/AJ178/$J183</f>
        <v>#VALUE!</v>
      </c>
      <c r="AK175" t="e" cm="1">
        <f t="array" ref="AK175">MMULT(TRANSPOSE($J$2:$J$82),AK$84:AK$164)/AK178/$J183</f>
        <v>#VALUE!</v>
      </c>
      <c r="AL175" t="e" cm="1">
        <f t="array" ref="AL175">MMULT(TRANSPOSE($J$2:$J$82),AL$84:AL$164)/AL178/$J183</f>
        <v>#VALUE!</v>
      </c>
      <c r="AM175" t="e" cm="1">
        <f t="array" ref="AM175">MMULT(TRANSPOSE($J$2:$J$82),AM$84:AM$164)/AM178/$J183</f>
        <v>#VALUE!</v>
      </c>
      <c r="AN175" t="e" cm="1">
        <f t="array" ref="AN175">MMULT(TRANSPOSE($J$2:$J$82),AN$84:AN$164)/AN178/$J183</f>
        <v>#VALUE!</v>
      </c>
      <c r="AO175" t="e" cm="1">
        <f t="array" ref="AO175">MMULT(TRANSPOSE($J$2:$J$82),AO$84:AO$164)/AO178/$J183</f>
        <v>#VALUE!</v>
      </c>
      <c r="AP175" t="e" cm="1">
        <f t="array" ref="AP175">MMULT(TRANSPOSE($J$2:$J$82),AP$84:AP$164)/AP178/$J183</f>
        <v>#VALUE!</v>
      </c>
      <c r="AQ175" t="e" cm="1">
        <f t="array" ref="AQ175">MMULT(TRANSPOSE($J$2:$J$82),AQ$84:AQ$164)/AQ178/$J183</f>
        <v>#VALUE!</v>
      </c>
      <c r="AR175" t="e" cm="1">
        <f t="array" ref="AR175">MMULT(TRANSPOSE($J$2:$J$82),AR$84:AR$164)/AR178/$J183</f>
        <v>#VALUE!</v>
      </c>
      <c r="AS175" t="e" cm="1">
        <f t="array" ref="AS175">MMULT(TRANSPOSE($J$2:$J$82),AS$84:AS$164)/AS178/$J183</f>
        <v>#VALUE!</v>
      </c>
      <c r="AT175" t="e" cm="1">
        <f t="array" ref="AT175">MMULT(TRANSPOSE($J$2:$J$82),AT$84:AT$164)/AT178/$J183</f>
        <v>#VALUE!</v>
      </c>
      <c r="AU175" t="e" cm="1">
        <f t="array" ref="AU175">MMULT(TRANSPOSE($J$2:$J$82),AU$84:AU$164)/AU178/$J183</f>
        <v>#VALUE!</v>
      </c>
      <c r="AV175" t="e" cm="1">
        <f t="array" ref="AV175">MMULT(TRANSPOSE($J$2:$J$82),AV$84:AV$164)/AV178/$J183</f>
        <v>#VALUE!</v>
      </c>
      <c r="AW175" t="e" cm="1">
        <f t="array" ref="AW175">MMULT(TRANSPOSE($J$2:$J$82),AW$84:AW$164)/AW178/$J183</f>
        <v>#VALUE!</v>
      </c>
      <c r="AX175" t="e" cm="1">
        <f t="array" ref="AX175">MMULT(TRANSPOSE($J$2:$J$82),AX$84:AX$164)/AX178/$J183</f>
        <v>#VALUE!</v>
      </c>
      <c r="AY175" t="e" cm="1">
        <f t="array" ref="AY175">MMULT(TRANSPOSE($J$2:$J$82),AY$84:AY$164)/AY178/$J183</f>
        <v>#VALUE!</v>
      </c>
      <c r="AZ175" t="e" cm="1">
        <f t="array" ref="AZ175">MMULT(TRANSPOSE($J$2:$J$82),AZ$84:AZ$164)/AZ178/$J183</f>
        <v>#VALUE!</v>
      </c>
      <c r="BA175" t="e" cm="1">
        <f t="array" ref="BA175">MMULT(TRANSPOSE($J$2:$J$82),BA$84:BA$164)/BA178/$J183</f>
        <v>#VALUE!</v>
      </c>
      <c r="BB175" t="e" cm="1">
        <f t="array" ref="BB175">MMULT(TRANSPOSE($J$2:$J$82),BB$84:BB$164)/BB178/$J183</f>
        <v>#VALUE!</v>
      </c>
      <c r="BC175" t="e" cm="1">
        <f t="array" ref="BC175">MMULT(TRANSPOSE($J$2:$J$82),BC$84:BC$164)/BC178/$J183</f>
        <v>#VALUE!</v>
      </c>
      <c r="BD175" t="e" cm="1">
        <f t="array" ref="BD175">MMULT(TRANSPOSE($J$2:$J$82),BD$84:BD$164)/BD178/$J183</f>
        <v>#VALUE!</v>
      </c>
      <c r="BE175" t="e" cm="1">
        <f t="array" ref="BE175">MMULT(TRANSPOSE($J$2:$J$82),BE$84:BE$164)/BE178/$J183</f>
        <v>#VALUE!</v>
      </c>
      <c r="BF175" t="e" cm="1">
        <f t="array" ref="BF175">MMULT(TRANSPOSE($J$2:$J$82),BF$84:BF$164)/BF178/$J183</f>
        <v>#VALUE!</v>
      </c>
      <c r="BG175" t="e" cm="1">
        <f t="array" ref="BG175">MMULT(TRANSPOSE($J$2:$J$82),BG$84:BG$164)/BG178/$J183</f>
        <v>#VALUE!</v>
      </c>
      <c r="BH175" t="e" cm="1">
        <f t="array" ref="BH175">MMULT(TRANSPOSE($J$2:$J$82),BH$84:BH$164)/BH178/$J183</f>
        <v>#VALUE!</v>
      </c>
      <c r="BI175" t="e" cm="1">
        <f t="array" ref="BI175">MMULT(TRANSPOSE($J$2:$J$82),BI$84:BI$164)/BI178/$J183</f>
        <v>#VALUE!</v>
      </c>
      <c r="BJ175" t="e" cm="1">
        <f t="array" ref="BJ175">MMULT(TRANSPOSE($J$2:$J$82),BJ$84:BJ$164)/BJ178/$J183</f>
        <v>#VALUE!</v>
      </c>
      <c r="BK175" t="e" cm="1">
        <f t="array" ref="BK175">MMULT(TRANSPOSE($J$2:$J$82),BK$84:BK$164)/BK178/$J183</f>
        <v>#VALUE!</v>
      </c>
      <c r="BL175" t="e" cm="1">
        <f t="array" ref="BL175">MMULT(TRANSPOSE($J$2:$J$82),BL$84:BL$164)/BL178/$J183</f>
        <v>#VALUE!</v>
      </c>
      <c r="BM175" t="e" cm="1">
        <f t="array" ref="BM175">MMULT(TRANSPOSE($J$2:$J$82),BM$84:BM$164)/BM178/$J183</f>
        <v>#VALUE!</v>
      </c>
      <c r="BN175" t="e" cm="1">
        <f t="array" ref="BN175">MMULT(TRANSPOSE($J$2:$J$82),BN$84:BN$164)/BN178/$J183</f>
        <v>#VALUE!</v>
      </c>
      <c r="BO175" t="e" cm="1">
        <f t="array" ref="BO175">MMULT(TRANSPOSE($J$2:$J$82),BO$84:BO$164)/BO178/$J183</f>
        <v>#VALUE!</v>
      </c>
      <c r="BP175" t="e" cm="1">
        <f t="array" ref="BP175">MMULT(TRANSPOSE($J$2:$J$82),BP$84:BP$164)/BP178/$J183</f>
        <v>#VALUE!</v>
      </c>
      <c r="BQ175" t="e" cm="1">
        <f t="array" ref="BQ175">MMULT(TRANSPOSE($J$2:$J$82),BQ$84:BQ$164)/BQ178/$J183</f>
        <v>#VALUE!</v>
      </c>
      <c r="BR175" t="e" cm="1">
        <f t="array" ref="BR175">MMULT(TRANSPOSE($J$2:$J$82),BR$84:BR$164)/BR178/$J183</f>
        <v>#VALUE!</v>
      </c>
      <c r="BS175" t="e" cm="1">
        <f t="array" ref="BS175">MMULT(TRANSPOSE($J$2:$J$82),BS$84:BS$164)/BS178/$J183</f>
        <v>#VALUE!</v>
      </c>
      <c r="BT175" t="e" cm="1">
        <f t="array" ref="BT175">MMULT(TRANSPOSE($J$2:$J$82),BT$84:BT$164)/BT178/$J183</f>
        <v>#VALUE!</v>
      </c>
      <c r="BU175" t="e" cm="1">
        <f t="array" ref="BU175">MMULT(TRANSPOSE($J$2:$J$82),BU$84:BU$164)/BU178/$J183</f>
        <v>#VALUE!</v>
      </c>
      <c r="BV175" t="e" cm="1">
        <f t="array" ref="BV175">MMULT(TRANSPOSE($J$2:$J$82),BV$84:BV$164)/BV178/$J183</f>
        <v>#VALUE!</v>
      </c>
      <c r="BW175" t="e" cm="1">
        <f t="array" ref="BW175">MMULT(TRANSPOSE($J$2:$J$82),BW$84:BW$164)/BW178/$J183</f>
        <v>#VALUE!</v>
      </c>
      <c r="BX175" t="e" cm="1">
        <f t="array" ref="BX175">MMULT(TRANSPOSE($J$2:$J$82),BX$84:BX$164)/BX178/$J183</f>
        <v>#VALUE!</v>
      </c>
      <c r="BY175" t="e" cm="1">
        <f t="array" ref="BY175">MMULT(TRANSPOSE($J$2:$J$82),BY$84:BY$164)/BY178/$J183</f>
        <v>#VALUE!</v>
      </c>
      <c r="BZ175" t="e" cm="1">
        <f t="array" ref="BZ175">MMULT(TRANSPOSE($J$2:$J$82),BZ$84:BZ$164)/BZ178/$J183</f>
        <v>#VALUE!</v>
      </c>
      <c r="CA175" t="e" cm="1">
        <f t="array" ref="CA175">MMULT(TRANSPOSE($J$2:$J$82),CA$84:CA$164)/CA178/$J183</f>
        <v>#VALUE!</v>
      </c>
      <c r="CB175" t="e" cm="1">
        <f t="array" ref="CB175">MMULT(TRANSPOSE($J$2:$J$82),CB$84:CB$164)/CB178/$J183</f>
        <v>#VALUE!</v>
      </c>
      <c r="CC175" t="e" cm="1">
        <f t="array" ref="CC175">MMULT(TRANSPOSE($J$2:$J$82),CC$84:CC$164)/CC178/$J183</f>
        <v>#VALUE!</v>
      </c>
      <c r="CD175" t="e" cm="1">
        <f t="array" ref="CD175">MMULT(TRANSPOSE($J$2:$J$82),CD$84:CD$164)/CD178/$J183</f>
        <v>#VALUE!</v>
      </c>
      <c r="CE175" t="e" cm="1">
        <f t="array" ref="CE175">MMULT(TRANSPOSE($J$2:$J$82),CE$84:CE$164)/CE178/$J183</f>
        <v>#VALUE!</v>
      </c>
      <c r="CF175" t="e" cm="1">
        <f t="array" ref="CF175">MMULT(TRANSPOSE($J$2:$J$82),CF$84:CF$164)/CF178/$J183</f>
        <v>#VALUE!</v>
      </c>
      <c r="CG175" t="e" cm="1">
        <f t="array" ref="CG175">MMULT(TRANSPOSE($J$2:$J$82),CG$84:CG$164)/CG178/$J183</f>
        <v>#VALUE!</v>
      </c>
      <c r="CH175" t="e" cm="1">
        <f t="array" ref="CH175">MMULT(TRANSPOSE($J$2:$J$82),CH$84:CH$164)/CH178/$J183</f>
        <v>#VALUE!</v>
      </c>
      <c r="CI175" t="e" cm="1">
        <f t="array" ref="CI175">MMULT(TRANSPOSE($J$2:$J$82),CI$84:CI$164)/CI178/$J183</f>
        <v>#VALUE!</v>
      </c>
      <c r="CJ175" t="e" cm="1">
        <f t="array" ref="CJ175">MMULT(TRANSPOSE($J$2:$J$82),CJ$84:CJ$164)/CJ178/$J183</f>
        <v>#VALUE!</v>
      </c>
      <c r="CK175" t="e" cm="1">
        <f t="array" ref="CK175">MMULT(TRANSPOSE($J$2:$J$82),CK$84:CK$164)/CK178/$J183</f>
        <v>#VALUE!</v>
      </c>
      <c r="CL175" t="e" cm="1">
        <f t="array" ref="CL175">MMULT(TRANSPOSE($J$2:$J$82),CL$84:CL$164)/CL178/$J183</f>
        <v>#VALUE!</v>
      </c>
      <c r="CM175" t="e" cm="1">
        <f t="array" ref="CM175">MMULT(TRANSPOSE($J$2:$J$82),CM$84:CM$164)/CM178/$J183</f>
        <v>#VALUE!</v>
      </c>
      <c r="CN175" t="e" cm="1">
        <f t="array" ref="CN175">MMULT(TRANSPOSE($J$2:$J$82),CN$84:CN$164)/CN178/$J183</f>
        <v>#VALUE!</v>
      </c>
      <c r="CO175" t="e" cm="1">
        <f t="array" ref="CO175">MMULT(TRANSPOSE($J$2:$J$82),CO$84:CO$164)/CO178/$J183</f>
        <v>#VALUE!</v>
      </c>
      <c r="CP175" t="e" cm="1">
        <f t="array" ref="CP175">MMULT(TRANSPOSE($J$2:$J$82),CP$84:CP$164)/CP178/$J183</f>
        <v>#VALUE!</v>
      </c>
      <c r="CQ175" t="e" cm="1">
        <f t="array" ref="CQ175">MMULT(TRANSPOSE($J$2:$J$82),CQ$84:CQ$164)/CQ178/$J183</f>
        <v>#VALUE!</v>
      </c>
      <c r="CR175" t="e" cm="1">
        <f t="array" ref="CR175">MMULT(TRANSPOSE($J$2:$J$82),CR$84:CR$164)/CR178/$J183</f>
        <v>#VALUE!</v>
      </c>
      <c r="CS175" t="e" cm="1">
        <f t="array" ref="CS175">MMULT(TRANSPOSE($J$2:$J$82),CS$84:CS$164)/CS178/$J183</f>
        <v>#VALUE!</v>
      </c>
      <c r="CT175" t="e" cm="1">
        <f t="array" ref="CT175">MMULT(TRANSPOSE($J$2:$J$82),CT$84:CT$164)/CT178/$J183</f>
        <v>#VALUE!</v>
      </c>
      <c r="CU175" t="e" cm="1">
        <f t="array" ref="CU175">MMULT(TRANSPOSE($J$2:$J$82),CU$84:CU$164)/CU178/$J183</f>
        <v>#VALUE!</v>
      </c>
      <c r="CV175" t="e" cm="1">
        <f t="array" ref="CV175">MMULT(TRANSPOSE($J$2:$J$82),CV$84:CV$164)/CV178/$J183</f>
        <v>#VALUE!</v>
      </c>
      <c r="CW175" t="e" cm="1">
        <f t="array" ref="CW175">MMULT(TRANSPOSE($J$2:$J$82),CW$84:CW$164)/CW178/$J183</f>
        <v>#VALUE!</v>
      </c>
      <c r="CX175" t="e" cm="1">
        <f t="array" ref="CX175">MMULT(TRANSPOSE($J$2:$J$82),CX$84:CX$164)/CX178/$J183</f>
        <v>#VALUE!</v>
      </c>
      <c r="CY175" t="e" cm="1">
        <f t="array" ref="CY175">MMULT(TRANSPOSE($J$2:$J$82),CY$84:CY$164)/CY178/$J183</f>
        <v>#VALUE!</v>
      </c>
      <c r="CZ175" t="e" cm="1">
        <f t="array" ref="CZ175">MMULT(TRANSPOSE($J$2:$J$82),CZ$84:CZ$164)/CZ178/$J183</f>
        <v>#VALUE!</v>
      </c>
      <c r="DA175" t="e" cm="1">
        <f t="array" ref="DA175">MMULT(TRANSPOSE($J$2:$J$82),DA$84:DA$164)/DA178/$J183</f>
        <v>#VALUE!</v>
      </c>
      <c r="DB175" t="e" cm="1">
        <f t="array" ref="DB175">MMULT(TRANSPOSE($J$2:$J$82),DB$84:DB$164)/DB178/$J183</f>
        <v>#VALUE!</v>
      </c>
    </row>
    <row r="176" spans="11:106">
      <c r="K176" s="12"/>
      <c r="O176" t="s">
        <v>19</v>
      </c>
      <c r="P176" cm="1">
        <f t="array" aca="1" ref="P176" ca="1">MMULT(TRANSPOSE($K$2:$K$82),P$84:P$164)/P178/$J184</f>
        <v>0.69384458019557238</v>
      </c>
      <c r="Q176" cm="1">
        <f t="array" aca="1" ref="Q176" ca="1">MMULT(TRANSPOSE($K$2:$K$82),Q$84:Q$164)/Q178/$J184</f>
        <v>0.81885632067890479</v>
      </c>
      <c r="R176" cm="1">
        <f t="array" aca="1" ref="R176" ca="1">MMULT(TRANSPOSE($K$2:$K$82),R$84:R$164)/R178/$J184</f>
        <v>0.6750649204084388</v>
      </c>
      <c r="S176" cm="1">
        <f t="array" aca="1" ref="S176" ca="1">MMULT(TRANSPOSE($K$2:$K$82),S$84:S$164)/S178/$J184</f>
        <v>0.63561816629572965</v>
      </c>
      <c r="T176" cm="1">
        <f t="array" aca="1" ref="T176" ca="1">MMULT(TRANSPOSE($K$2:$K$82),T$84:T$164)/T178/$J184</f>
        <v>0.70503650237327375</v>
      </c>
      <c r="U176" cm="1">
        <f t="array" aca="1" ref="U176" ca="1">MMULT(TRANSPOSE($K$2:$K$82),U$84:U$164)/U178/$J184</f>
        <v>0.66127752046829413</v>
      </c>
      <c r="V176" cm="1">
        <f t="array" aca="1" ref="V176" ca="1">MMULT(TRANSPOSE($K$2:$K$82),V$84:V$164)/V178/$J184</f>
        <v>0.84473092707434039</v>
      </c>
      <c r="W176" cm="1">
        <f t="array" aca="1" ref="W176" ca="1">MMULT(TRANSPOSE($K$2:$K$82),W$84:W$164)/W178/$J184</f>
        <v>0.83635917409462968</v>
      </c>
      <c r="X176" t="e" cm="1">
        <f t="array" ref="X176">MMULT(TRANSPOSE($K$2:$K$82),X$84:X$164)/X178/$J184</f>
        <v>#VALUE!</v>
      </c>
      <c r="Y176" t="e" cm="1">
        <f t="array" ref="Y176">MMULT(TRANSPOSE($K$2:$K$82),Y$84:Y$164)/Y178/$J184</f>
        <v>#VALUE!</v>
      </c>
      <c r="Z176" t="e" cm="1">
        <f t="array" ref="Z176">MMULT(TRANSPOSE($K$2:$K$82),Z$84:Z$164)/Z178/$J184</f>
        <v>#VALUE!</v>
      </c>
      <c r="AA176" t="e" cm="1">
        <f t="array" ref="AA176">MMULT(TRANSPOSE($K$2:$K$82),AA$84:AA$164)/AA178/$J184</f>
        <v>#VALUE!</v>
      </c>
      <c r="AB176" t="e" cm="1">
        <f t="array" ref="AB176">MMULT(TRANSPOSE($K$2:$K$82),AB$84:AB$164)/AB178/$J184</f>
        <v>#VALUE!</v>
      </c>
      <c r="AC176" t="e" cm="1">
        <f t="array" ref="AC176">MMULT(TRANSPOSE($K$2:$K$82),AC$84:AC$164)/AC178/$J184</f>
        <v>#VALUE!</v>
      </c>
      <c r="AD176" t="e" cm="1">
        <f t="array" ref="AD176">MMULT(TRANSPOSE($K$2:$K$82),AD$84:AD$164)/AD178/$J184</f>
        <v>#VALUE!</v>
      </c>
      <c r="AE176" t="e" cm="1">
        <f t="array" ref="AE176">MMULT(TRANSPOSE($K$2:$K$82),AE$84:AE$164)/AE178/$J184</f>
        <v>#VALUE!</v>
      </c>
      <c r="AF176" t="e" cm="1">
        <f t="array" ref="AF176">MMULT(TRANSPOSE($K$2:$K$82),AF$84:AF$164)/AF178/$J184</f>
        <v>#VALUE!</v>
      </c>
      <c r="AG176" t="e" cm="1">
        <f t="array" ref="AG176">MMULT(TRANSPOSE($K$2:$K$82),AG$84:AG$164)/AG178/$J184</f>
        <v>#VALUE!</v>
      </c>
      <c r="AH176" t="e" cm="1">
        <f t="array" ref="AH176">MMULT(TRANSPOSE($K$2:$K$82),AH$84:AH$164)/AH178/$J184</f>
        <v>#VALUE!</v>
      </c>
      <c r="AI176" t="e" cm="1">
        <f t="array" ref="AI176">MMULT(TRANSPOSE($K$2:$K$82),AI$84:AI$164)/AI178/$J184</f>
        <v>#VALUE!</v>
      </c>
      <c r="AJ176" t="e" cm="1">
        <f t="array" ref="AJ176">MMULT(TRANSPOSE($K$2:$K$82),AJ$84:AJ$164)/AJ178/$J184</f>
        <v>#VALUE!</v>
      </c>
      <c r="AK176" t="e" cm="1">
        <f t="array" ref="AK176">MMULT(TRANSPOSE($K$2:$K$82),AK$84:AK$164)/AK178/$J184</f>
        <v>#VALUE!</v>
      </c>
      <c r="AL176" t="e" cm="1">
        <f t="array" ref="AL176">MMULT(TRANSPOSE($K$2:$K$82),AL$84:AL$164)/AL178/$J184</f>
        <v>#VALUE!</v>
      </c>
      <c r="AM176" t="e" cm="1">
        <f t="array" ref="AM176">MMULT(TRANSPOSE($K$2:$K$82),AM$84:AM$164)/AM178/$J184</f>
        <v>#VALUE!</v>
      </c>
      <c r="AN176" t="e" cm="1">
        <f t="array" ref="AN176">MMULT(TRANSPOSE($K$2:$K$82),AN$84:AN$164)/AN178/$J184</f>
        <v>#VALUE!</v>
      </c>
      <c r="AO176" t="e" cm="1">
        <f t="array" ref="AO176">MMULT(TRANSPOSE($K$2:$K$82),AO$84:AO$164)/AO178/$J184</f>
        <v>#VALUE!</v>
      </c>
      <c r="AP176" t="e" cm="1">
        <f t="array" ref="AP176">MMULT(TRANSPOSE($K$2:$K$82),AP$84:AP$164)/AP178/$J184</f>
        <v>#VALUE!</v>
      </c>
      <c r="AQ176" t="e" cm="1">
        <f t="array" ref="AQ176">MMULT(TRANSPOSE($K$2:$K$82),AQ$84:AQ$164)/AQ178/$J184</f>
        <v>#VALUE!</v>
      </c>
      <c r="AR176" t="e" cm="1">
        <f t="array" ref="AR176">MMULT(TRANSPOSE($K$2:$K$82),AR$84:AR$164)/AR178/$J184</f>
        <v>#VALUE!</v>
      </c>
      <c r="AS176" t="e" cm="1">
        <f t="array" ref="AS176">MMULT(TRANSPOSE($K$2:$K$82),AS$84:AS$164)/AS178/$J184</f>
        <v>#VALUE!</v>
      </c>
      <c r="AT176" t="e" cm="1">
        <f t="array" ref="AT176">MMULT(TRANSPOSE($K$2:$K$82),AT$84:AT$164)/AT178/$J184</f>
        <v>#VALUE!</v>
      </c>
      <c r="AU176" t="e" cm="1">
        <f t="array" ref="AU176">MMULT(TRANSPOSE($K$2:$K$82),AU$84:AU$164)/AU178/$J184</f>
        <v>#VALUE!</v>
      </c>
      <c r="AV176" t="e" cm="1">
        <f t="array" ref="AV176">MMULT(TRANSPOSE($K$2:$K$82),AV$84:AV$164)/AV178/$J184</f>
        <v>#VALUE!</v>
      </c>
      <c r="AW176" t="e" cm="1">
        <f t="array" ref="AW176">MMULT(TRANSPOSE($K$2:$K$82),AW$84:AW$164)/AW178/$J184</f>
        <v>#VALUE!</v>
      </c>
      <c r="AX176" t="e" cm="1">
        <f t="array" ref="AX176">MMULT(TRANSPOSE($K$2:$K$82),AX$84:AX$164)/AX178/$J184</f>
        <v>#VALUE!</v>
      </c>
      <c r="AY176" t="e" cm="1">
        <f t="array" ref="AY176">MMULT(TRANSPOSE($K$2:$K$82),AY$84:AY$164)/AY178/$J184</f>
        <v>#VALUE!</v>
      </c>
      <c r="AZ176" t="e" cm="1">
        <f t="array" ref="AZ176">MMULT(TRANSPOSE($K$2:$K$82),AZ$84:AZ$164)/AZ178/$J184</f>
        <v>#VALUE!</v>
      </c>
      <c r="BA176" t="e" cm="1">
        <f t="array" ref="BA176">MMULT(TRANSPOSE($K$2:$K$82),BA$84:BA$164)/BA178/$J184</f>
        <v>#VALUE!</v>
      </c>
      <c r="BB176" t="e" cm="1">
        <f t="array" ref="BB176">MMULT(TRANSPOSE($K$2:$K$82),BB$84:BB$164)/BB178/$J184</f>
        <v>#VALUE!</v>
      </c>
      <c r="BC176" t="e" cm="1">
        <f t="array" ref="BC176">MMULT(TRANSPOSE($K$2:$K$82),BC$84:BC$164)/BC178/$J184</f>
        <v>#VALUE!</v>
      </c>
      <c r="BD176" t="e" cm="1">
        <f t="array" ref="BD176">MMULT(TRANSPOSE($K$2:$K$82),BD$84:BD$164)/BD178/$J184</f>
        <v>#VALUE!</v>
      </c>
      <c r="BE176" t="e" cm="1">
        <f t="array" ref="BE176">MMULT(TRANSPOSE($K$2:$K$82),BE$84:BE$164)/BE178/$J184</f>
        <v>#VALUE!</v>
      </c>
      <c r="BF176" t="e" cm="1">
        <f t="array" ref="BF176">MMULT(TRANSPOSE($K$2:$K$82),BF$84:BF$164)/BF178/$J184</f>
        <v>#VALUE!</v>
      </c>
      <c r="BG176" t="e" cm="1">
        <f t="array" ref="BG176">MMULT(TRANSPOSE($K$2:$K$82),BG$84:BG$164)/BG178/$J184</f>
        <v>#VALUE!</v>
      </c>
      <c r="BH176" t="e" cm="1">
        <f t="array" ref="BH176">MMULT(TRANSPOSE($K$2:$K$82),BH$84:BH$164)/BH178/$J184</f>
        <v>#VALUE!</v>
      </c>
      <c r="BI176" t="e" cm="1">
        <f t="array" ref="BI176">MMULT(TRANSPOSE($K$2:$K$82),BI$84:BI$164)/BI178/$J184</f>
        <v>#VALUE!</v>
      </c>
      <c r="BJ176" t="e" cm="1">
        <f t="array" ref="BJ176">MMULT(TRANSPOSE($K$2:$K$82),BJ$84:BJ$164)/BJ178/$J184</f>
        <v>#VALUE!</v>
      </c>
      <c r="BK176" t="e" cm="1">
        <f t="array" ref="BK176">MMULT(TRANSPOSE($K$2:$K$82),BK$84:BK$164)/BK178/$J184</f>
        <v>#VALUE!</v>
      </c>
      <c r="BL176" t="e" cm="1">
        <f t="array" ref="BL176">MMULT(TRANSPOSE($K$2:$K$82),BL$84:BL$164)/BL178/$J184</f>
        <v>#VALUE!</v>
      </c>
      <c r="BM176" t="e" cm="1">
        <f t="array" ref="BM176">MMULT(TRANSPOSE($K$2:$K$82),BM$84:BM$164)/BM178/$J184</f>
        <v>#VALUE!</v>
      </c>
      <c r="BN176" t="e" cm="1">
        <f t="array" ref="BN176">MMULT(TRANSPOSE($K$2:$K$82),BN$84:BN$164)/BN178/$J184</f>
        <v>#VALUE!</v>
      </c>
      <c r="BO176" t="e" cm="1">
        <f t="array" ref="BO176">MMULT(TRANSPOSE($K$2:$K$82),BO$84:BO$164)/BO178/$J184</f>
        <v>#VALUE!</v>
      </c>
      <c r="BP176" t="e" cm="1">
        <f t="array" ref="BP176">MMULT(TRANSPOSE($K$2:$K$82),BP$84:BP$164)/BP178/$J184</f>
        <v>#VALUE!</v>
      </c>
      <c r="BQ176" t="e" cm="1">
        <f t="array" ref="BQ176">MMULT(TRANSPOSE($K$2:$K$82),BQ$84:BQ$164)/BQ178/$J184</f>
        <v>#VALUE!</v>
      </c>
      <c r="BR176" t="e" cm="1">
        <f t="array" ref="BR176">MMULT(TRANSPOSE($K$2:$K$82),BR$84:BR$164)/BR178/$J184</f>
        <v>#VALUE!</v>
      </c>
      <c r="BS176" t="e" cm="1">
        <f t="array" ref="BS176">MMULT(TRANSPOSE($K$2:$K$82),BS$84:BS$164)/BS178/$J184</f>
        <v>#VALUE!</v>
      </c>
      <c r="BT176" t="e" cm="1">
        <f t="array" ref="BT176">MMULT(TRANSPOSE($K$2:$K$82),BT$84:BT$164)/BT178/$J184</f>
        <v>#VALUE!</v>
      </c>
      <c r="BU176" t="e" cm="1">
        <f t="array" ref="BU176">MMULT(TRANSPOSE($K$2:$K$82),BU$84:BU$164)/BU178/$J184</f>
        <v>#VALUE!</v>
      </c>
      <c r="BV176" t="e" cm="1">
        <f t="array" ref="BV176">MMULT(TRANSPOSE($K$2:$K$82),BV$84:BV$164)/BV178/$J184</f>
        <v>#VALUE!</v>
      </c>
      <c r="BW176" t="e" cm="1">
        <f t="array" ref="BW176">MMULT(TRANSPOSE($K$2:$K$82),BW$84:BW$164)/BW178/$J184</f>
        <v>#VALUE!</v>
      </c>
      <c r="BX176" t="e" cm="1">
        <f t="array" ref="BX176">MMULT(TRANSPOSE($K$2:$K$82),BX$84:BX$164)/BX178/$J184</f>
        <v>#VALUE!</v>
      </c>
      <c r="BY176" t="e" cm="1">
        <f t="array" ref="BY176">MMULT(TRANSPOSE($K$2:$K$82),BY$84:BY$164)/BY178/$J184</f>
        <v>#VALUE!</v>
      </c>
      <c r="BZ176" t="e" cm="1">
        <f t="array" ref="BZ176">MMULT(TRANSPOSE($K$2:$K$82),BZ$84:BZ$164)/BZ178/$J184</f>
        <v>#VALUE!</v>
      </c>
      <c r="CA176" t="e" cm="1">
        <f t="array" ref="CA176">MMULT(TRANSPOSE($K$2:$K$82),CA$84:CA$164)/CA178/$J184</f>
        <v>#VALUE!</v>
      </c>
      <c r="CB176" t="e" cm="1">
        <f t="array" ref="CB176">MMULT(TRANSPOSE($K$2:$K$82),CB$84:CB$164)/CB178/$J184</f>
        <v>#VALUE!</v>
      </c>
      <c r="CC176" t="e" cm="1">
        <f t="array" ref="CC176">MMULT(TRANSPOSE($K$2:$K$82),CC$84:CC$164)/CC178/$J184</f>
        <v>#VALUE!</v>
      </c>
      <c r="CD176" t="e" cm="1">
        <f t="array" ref="CD176">MMULT(TRANSPOSE($K$2:$K$82),CD$84:CD$164)/CD178/$J184</f>
        <v>#VALUE!</v>
      </c>
      <c r="CE176" t="e" cm="1">
        <f t="array" ref="CE176">MMULT(TRANSPOSE($K$2:$K$82),CE$84:CE$164)/CE178/$J184</f>
        <v>#VALUE!</v>
      </c>
      <c r="CF176" t="e" cm="1">
        <f t="array" ref="CF176">MMULT(TRANSPOSE($K$2:$K$82),CF$84:CF$164)/CF178/$J184</f>
        <v>#VALUE!</v>
      </c>
      <c r="CG176" t="e" cm="1">
        <f t="array" ref="CG176">MMULT(TRANSPOSE($K$2:$K$82),CG$84:CG$164)/CG178/$J184</f>
        <v>#VALUE!</v>
      </c>
      <c r="CH176" t="e" cm="1">
        <f t="array" ref="CH176">MMULT(TRANSPOSE($K$2:$K$82),CH$84:CH$164)/CH178/$J184</f>
        <v>#VALUE!</v>
      </c>
      <c r="CI176" t="e" cm="1">
        <f t="array" ref="CI176">MMULT(TRANSPOSE($K$2:$K$82),CI$84:CI$164)/CI178/$J184</f>
        <v>#VALUE!</v>
      </c>
      <c r="CJ176" t="e" cm="1">
        <f t="array" ref="CJ176">MMULT(TRANSPOSE($K$2:$K$82),CJ$84:CJ$164)/CJ178/$J184</f>
        <v>#VALUE!</v>
      </c>
      <c r="CK176" t="e" cm="1">
        <f t="array" ref="CK176">MMULT(TRANSPOSE($K$2:$K$82),CK$84:CK$164)/CK178/$J184</f>
        <v>#VALUE!</v>
      </c>
      <c r="CL176" t="e" cm="1">
        <f t="array" ref="CL176">MMULT(TRANSPOSE($K$2:$K$82),CL$84:CL$164)/CL178/$J184</f>
        <v>#VALUE!</v>
      </c>
      <c r="CM176" t="e" cm="1">
        <f t="array" ref="CM176">MMULT(TRANSPOSE($K$2:$K$82),CM$84:CM$164)/CM178/$J184</f>
        <v>#VALUE!</v>
      </c>
      <c r="CN176" t="e" cm="1">
        <f t="array" ref="CN176">MMULT(TRANSPOSE($K$2:$K$82),CN$84:CN$164)/CN178/$J184</f>
        <v>#VALUE!</v>
      </c>
      <c r="CO176" t="e" cm="1">
        <f t="array" ref="CO176">MMULT(TRANSPOSE($K$2:$K$82),CO$84:CO$164)/CO178/$J184</f>
        <v>#VALUE!</v>
      </c>
      <c r="CP176" t="e" cm="1">
        <f t="array" ref="CP176">MMULT(TRANSPOSE($K$2:$K$82),CP$84:CP$164)/CP178/$J184</f>
        <v>#VALUE!</v>
      </c>
      <c r="CQ176" t="e" cm="1">
        <f t="array" ref="CQ176">MMULT(TRANSPOSE($K$2:$K$82),CQ$84:CQ$164)/CQ178/$J184</f>
        <v>#VALUE!</v>
      </c>
      <c r="CR176" t="e" cm="1">
        <f t="array" ref="CR176">MMULT(TRANSPOSE($K$2:$K$82),CR$84:CR$164)/CR178/$J184</f>
        <v>#VALUE!</v>
      </c>
      <c r="CS176" t="e" cm="1">
        <f t="array" ref="CS176">MMULT(TRANSPOSE($K$2:$K$82),CS$84:CS$164)/CS178/$J184</f>
        <v>#VALUE!</v>
      </c>
      <c r="CT176" t="e" cm="1">
        <f t="array" ref="CT176">MMULT(TRANSPOSE($K$2:$K$82),CT$84:CT$164)/CT178/$J184</f>
        <v>#VALUE!</v>
      </c>
      <c r="CU176" t="e" cm="1">
        <f t="array" ref="CU176">MMULT(TRANSPOSE($K$2:$K$82),CU$84:CU$164)/CU178/$J184</f>
        <v>#VALUE!</v>
      </c>
      <c r="CV176" t="e" cm="1">
        <f t="array" ref="CV176">MMULT(TRANSPOSE($K$2:$K$82),CV$84:CV$164)/CV178/$J184</f>
        <v>#VALUE!</v>
      </c>
      <c r="CW176" t="e" cm="1">
        <f t="array" ref="CW176">MMULT(TRANSPOSE($K$2:$K$82),CW$84:CW$164)/CW178/$J184</f>
        <v>#VALUE!</v>
      </c>
      <c r="CX176" t="e" cm="1">
        <f t="array" ref="CX176">MMULT(TRANSPOSE($K$2:$K$82),CX$84:CX$164)/CX178/$J184</f>
        <v>#VALUE!</v>
      </c>
      <c r="CY176" t="e" cm="1">
        <f t="array" ref="CY176">MMULT(TRANSPOSE($K$2:$K$82),CY$84:CY$164)/CY178/$J184</f>
        <v>#VALUE!</v>
      </c>
      <c r="CZ176" t="e" cm="1">
        <f t="array" ref="CZ176">MMULT(TRANSPOSE($K$2:$K$82),CZ$84:CZ$164)/CZ178/$J184</f>
        <v>#VALUE!</v>
      </c>
      <c r="DA176" t="e" cm="1">
        <f t="array" ref="DA176">MMULT(TRANSPOSE($K$2:$K$82),DA$84:DA$164)/DA178/$J184</f>
        <v>#VALUE!</v>
      </c>
      <c r="DB176" t="e" cm="1">
        <f t="array" ref="DB176">MMULT(TRANSPOSE($K$2:$K$82),DB$84:DB$164)/DB178/$J184</f>
        <v>#VALUE!</v>
      </c>
    </row>
    <row r="177" spans="10:106">
      <c r="K177" s="12"/>
      <c r="O177" t="s">
        <v>20</v>
      </c>
      <c r="P177" cm="1">
        <f t="array" aca="1" ref="P177" ca="1">MMULT(TRANSPOSE($L$2:$L$82),P$84:P$164)/P178/$J185</f>
        <v>0.96167360004938507</v>
      </c>
      <c r="Q177" cm="1">
        <f t="array" aca="1" ref="Q177" ca="1">MMULT(TRANSPOSE($L$2:$L$82),Q$84:Q$164)/Q178/$J185</f>
        <v>0.88418494042297424</v>
      </c>
      <c r="R177" cm="1">
        <f t="array" aca="1" ref="R177" ca="1">MMULT(TRANSPOSE($L$2:$L$82),R$84:R$164)/R178/$J185</f>
        <v>0.75849130693840505</v>
      </c>
      <c r="S177" cm="1">
        <f t="array" aca="1" ref="S177" ca="1">MMULT(TRANSPOSE($L$2:$L$82),S$84:S$164)/S178/$J185</f>
        <v>0.80839111053674517</v>
      </c>
      <c r="T177" cm="1">
        <f t="array" aca="1" ref="T177" ca="1">MMULT(TRANSPOSE($L$2:$L$82),T$84:T$164)/T178/$J185</f>
        <v>0.72796041967823677</v>
      </c>
      <c r="U177" cm="1">
        <f t="array" aca="1" ref="U177" ca="1">MMULT(TRANSPOSE($L$2:$L$82),U$84:U$164)/U178/$J185</f>
        <v>0.57504087069689747</v>
      </c>
      <c r="V177" cm="1">
        <f t="array" aca="1" ref="V177" ca="1">MMULT(TRANSPOSE($L$2:$L$82),V$84:V$164)/V178/$J185</f>
        <v>0.82710180805105837</v>
      </c>
      <c r="W177" cm="1">
        <f t="array" aca="1" ref="W177" ca="1">MMULT(TRANSPOSE($L$2:$L$82),W$84:W$164)/W178/$J185</f>
        <v>0.82522422455995847</v>
      </c>
      <c r="X177" t="e" cm="1">
        <f t="array" ref="X177">MMULT(TRANSPOSE($L$2:$L$82),X$84:X$164)/X178/$J185</f>
        <v>#VALUE!</v>
      </c>
      <c r="Y177" t="e" cm="1">
        <f t="array" ref="Y177">MMULT(TRANSPOSE($L$2:$L$82),Y$84:Y$164)/Y178/$J185</f>
        <v>#VALUE!</v>
      </c>
      <c r="Z177" t="e" cm="1">
        <f t="array" ref="Z177">MMULT(TRANSPOSE($L$2:$L$82),Z$84:Z$164)/Z178/$J185</f>
        <v>#VALUE!</v>
      </c>
      <c r="AA177" t="e" cm="1">
        <f t="array" ref="AA177">MMULT(TRANSPOSE($L$2:$L$82),AA$84:AA$164)/AA178/$J185</f>
        <v>#VALUE!</v>
      </c>
      <c r="AB177" t="e" cm="1">
        <f t="array" ref="AB177">MMULT(TRANSPOSE($L$2:$L$82),AB$84:AB$164)/AB178/$J185</f>
        <v>#VALUE!</v>
      </c>
      <c r="AC177" t="e" cm="1">
        <f t="array" ref="AC177">MMULT(TRANSPOSE($L$2:$L$82),AC$84:AC$164)/AC178/$J185</f>
        <v>#VALUE!</v>
      </c>
      <c r="AD177" t="e" cm="1">
        <f t="array" ref="AD177">MMULT(TRANSPOSE($L$2:$L$82),AD$84:AD$164)/AD178/$J185</f>
        <v>#VALUE!</v>
      </c>
      <c r="AE177" t="e" cm="1">
        <f t="array" ref="AE177">MMULT(TRANSPOSE($L$2:$L$82),AE$84:AE$164)/AE178/$J185</f>
        <v>#VALUE!</v>
      </c>
      <c r="AF177" t="e" cm="1">
        <f t="array" ref="AF177">MMULT(TRANSPOSE($L$2:$L$82),AF$84:AF$164)/AF178/$J185</f>
        <v>#VALUE!</v>
      </c>
      <c r="AG177" t="e" cm="1">
        <f t="array" ref="AG177">MMULT(TRANSPOSE($L$2:$L$82),AG$84:AG$164)/AG178/$J185</f>
        <v>#VALUE!</v>
      </c>
      <c r="AH177" t="e" cm="1">
        <f t="array" ref="AH177">MMULT(TRANSPOSE($L$2:$L$82),AH$84:AH$164)/AH178/$J185</f>
        <v>#VALUE!</v>
      </c>
      <c r="AI177" t="e" cm="1">
        <f t="array" ref="AI177">MMULT(TRANSPOSE($L$2:$L$82),AI$84:AI$164)/AI178/$J185</f>
        <v>#VALUE!</v>
      </c>
      <c r="AJ177" t="e" cm="1">
        <f t="array" ref="AJ177">MMULT(TRANSPOSE($L$2:$L$82),AJ$84:AJ$164)/AJ178/$J185</f>
        <v>#VALUE!</v>
      </c>
      <c r="AK177" t="e" cm="1">
        <f t="array" ref="AK177">MMULT(TRANSPOSE($L$2:$L$82),AK$84:AK$164)/AK178/$J185</f>
        <v>#VALUE!</v>
      </c>
      <c r="AL177" t="e" cm="1">
        <f t="array" ref="AL177">MMULT(TRANSPOSE($L$2:$L$82),AL$84:AL$164)/AL178/$J185</f>
        <v>#VALUE!</v>
      </c>
      <c r="AM177" t="e" cm="1">
        <f t="array" ref="AM177">MMULT(TRANSPOSE($L$2:$L$82),AM$84:AM$164)/AM178/$J185</f>
        <v>#VALUE!</v>
      </c>
      <c r="AN177" t="e" cm="1">
        <f t="array" ref="AN177">MMULT(TRANSPOSE($L$2:$L$82),AN$84:AN$164)/AN178/$J185</f>
        <v>#VALUE!</v>
      </c>
      <c r="AO177" t="e" cm="1">
        <f t="array" ref="AO177">MMULT(TRANSPOSE($L$2:$L$82),AO$84:AO$164)/AO178/$J185</f>
        <v>#VALUE!</v>
      </c>
      <c r="AP177" t="e" cm="1">
        <f t="array" ref="AP177">MMULT(TRANSPOSE($L$2:$L$82),AP$84:AP$164)/AP178/$J185</f>
        <v>#VALUE!</v>
      </c>
      <c r="AQ177" t="e" cm="1">
        <f t="array" ref="AQ177">MMULT(TRANSPOSE($L$2:$L$82),AQ$84:AQ$164)/AQ178/$J185</f>
        <v>#VALUE!</v>
      </c>
      <c r="AR177" t="e" cm="1">
        <f t="array" ref="AR177">MMULT(TRANSPOSE($L$2:$L$82),AR$84:AR$164)/AR178/$J185</f>
        <v>#VALUE!</v>
      </c>
      <c r="AS177" t="e" cm="1">
        <f t="array" ref="AS177">MMULT(TRANSPOSE($L$2:$L$82),AS$84:AS$164)/AS178/$J185</f>
        <v>#VALUE!</v>
      </c>
      <c r="AT177" t="e" cm="1">
        <f t="array" ref="AT177">MMULT(TRANSPOSE($L$2:$L$82),AT$84:AT$164)/AT178/$J185</f>
        <v>#VALUE!</v>
      </c>
      <c r="AU177" t="e" cm="1">
        <f t="array" ref="AU177">MMULT(TRANSPOSE($L$2:$L$82),AU$84:AU$164)/AU178/$J185</f>
        <v>#VALUE!</v>
      </c>
      <c r="AV177" t="e" cm="1">
        <f t="array" ref="AV177">MMULT(TRANSPOSE($L$2:$L$82),AV$84:AV$164)/AV178/$J185</f>
        <v>#VALUE!</v>
      </c>
      <c r="AW177" t="e" cm="1">
        <f t="array" ref="AW177">MMULT(TRANSPOSE($L$2:$L$82),AW$84:AW$164)/AW178/$J185</f>
        <v>#VALUE!</v>
      </c>
      <c r="AX177" t="e" cm="1">
        <f t="array" ref="AX177">MMULT(TRANSPOSE($L$2:$L$82),AX$84:AX$164)/AX178/$J185</f>
        <v>#VALUE!</v>
      </c>
      <c r="AY177" t="e" cm="1">
        <f t="array" ref="AY177">MMULT(TRANSPOSE($L$2:$L$82),AY$84:AY$164)/AY178/$J185</f>
        <v>#VALUE!</v>
      </c>
      <c r="AZ177" t="e" cm="1">
        <f t="array" ref="AZ177">MMULT(TRANSPOSE($L$2:$L$82),AZ$84:AZ$164)/AZ178/$J185</f>
        <v>#VALUE!</v>
      </c>
      <c r="BA177" t="e" cm="1">
        <f t="array" ref="BA177">MMULT(TRANSPOSE($L$2:$L$82),BA$84:BA$164)/BA178/$J185</f>
        <v>#VALUE!</v>
      </c>
      <c r="BB177" t="e" cm="1">
        <f t="array" ref="BB177">MMULT(TRANSPOSE($L$2:$L$82),BB$84:BB$164)/BB178/$J185</f>
        <v>#VALUE!</v>
      </c>
      <c r="BC177" t="e" cm="1">
        <f t="array" ref="BC177">MMULT(TRANSPOSE($L$2:$L$82),BC$84:BC$164)/BC178/$J185</f>
        <v>#VALUE!</v>
      </c>
      <c r="BD177" t="e" cm="1">
        <f t="array" ref="BD177">MMULT(TRANSPOSE($L$2:$L$82),BD$84:BD$164)/BD178/$J185</f>
        <v>#VALUE!</v>
      </c>
      <c r="BE177" t="e" cm="1">
        <f t="array" ref="BE177">MMULT(TRANSPOSE($L$2:$L$82),BE$84:BE$164)/BE178/$J185</f>
        <v>#VALUE!</v>
      </c>
      <c r="BF177" t="e" cm="1">
        <f t="array" ref="BF177">MMULT(TRANSPOSE($L$2:$L$82),BF$84:BF$164)/BF178/$J185</f>
        <v>#VALUE!</v>
      </c>
      <c r="BG177" t="e" cm="1">
        <f t="array" ref="BG177">MMULT(TRANSPOSE($L$2:$L$82),BG$84:BG$164)/BG178/$J185</f>
        <v>#VALUE!</v>
      </c>
      <c r="BH177" t="e" cm="1">
        <f t="array" ref="BH177">MMULT(TRANSPOSE($L$2:$L$82),BH$84:BH$164)/BH178/$J185</f>
        <v>#VALUE!</v>
      </c>
      <c r="BI177" t="e" cm="1">
        <f t="array" ref="BI177">MMULT(TRANSPOSE($L$2:$L$82),BI$84:BI$164)/BI178/$J185</f>
        <v>#VALUE!</v>
      </c>
      <c r="BJ177" t="e" cm="1">
        <f t="array" ref="BJ177">MMULT(TRANSPOSE($L$2:$L$82),BJ$84:BJ$164)/BJ178/$J185</f>
        <v>#VALUE!</v>
      </c>
      <c r="BK177" t="e" cm="1">
        <f t="array" ref="BK177">MMULT(TRANSPOSE($L$2:$L$82),BK$84:BK$164)/BK178/$J185</f>
        <v>#VALUE!</v>
      </c>
      <c r="BL177" t="e" cm="1">
        <f t="array" ref="BL177">MMULT(TRANSPOSE($L$2:$L$82),BL$84:BL$164)/BL178/$J185</f>
        <v>#VALUE!</v>
      </c>
      <c r="BM177" t="e" cm="1">
        <f t="array" ref="BM177">MMULT(TRANSPOSE($L$2:$L$82),BM$84:BM$164)/BM178/$J185</f>
        <v>#VALUE!</v>
      </c>
      <c r="BN177" t="e" cm="1">
        <f t="array" ref="BN177">MMULT(TRANSPOSE($L$2:$L$82),BN$84:BN$164)/BN178/$J185</f>
        <v>#VALUE!</v>
      </c>
      <c r="BO177" t="e" cm="1">
        <f t="array" ref="BO177">MMULT(TRANSPOSE($L$2:$L$82),BO$84:BO$164)/BO178/$J185</f>
        <v>#VALUE!</v>
      </c>
      <c r="BP177" t="e" cm="1">
        <f t="array" ref="BP177">MMULT(TRANSPOSE($L$2:$L$82),BP$84:BP$164)/BP178/$J185</f>
        <v>#VALUE!</v>
      </c>
      <c r="BQ177" t="e" cm="1">
        <f t="array" ref="BQ177">MMULT(TRANSPOSE($L$2:$L$82),BQ$84:BQ$164)/BQ178/$J185</f>
        <v>#VALUE!</v>
      </c>
      <c r="BR177" t="e" cm="1">
        <f t="array" ref="BR177">MMULT(TRANSPOSE($L$2:$L$82),BR$84:BR$164)/BR178/$J185</f>
        <v>#VALUE!</v>
      </c>
      <c r="BS177" t="e" cm="1">
        <f t="array" ref="BS177">MMULT(TRANSPOSE($L$2:$L$82),BS$84:BS$164)/BS178/$J185</f>
        <v>#VALUE!</v>
      </c>
      <c r="BT177" t="e" cm="1">
        <f t="array" ref="BT177">MMULT(TRANSPOSE($L$2:$L$82),BT$84:BT$164)/BT178/$J185</f>
        <v>#VALUE!</v>
      </c>
      <c r="BU177" t="e" cm="1">
        <f t="array" ref="BU177">MMULT(TRANSPOSE($L$2:$L$82),BU$84:BU$164)/BU178/$J185</f>
        <v>#VALUE!</v>
      </c>
      <c r="BV177" t="e" cm="1">
        <f t="array" ref="BV177">MMULT(TRANSPOSE($L$2:$L$82),BV$84:BV$164)/BV178/$J185</f>
        <v>#VALUE!</v>
      </c>
      <c r="BW177" t="e" cm="1">
        <f t="array" ref="BW177">MMULT(TRANSPOSE($L$2:$L$82),BW$84:BW$164)/BW178/$J185</f>
        <v>#VALUE!</v>
      </c>
      <c r="BX177" t="e" cm="1">
        <f t="array" ref="BX177">MMULT(TRANSPOSE($L$2:$L$82),BX$84:BX$164)/BX178/$J185</f>
        <v>#VALUE!</v>
      </c>
      <c r="BY177" t="e" cm="1">
        <f t="array" ref="BY177">MMULT(TRANSPOSE($L$2:$L$82),BY$84:BY$164)/BY178/$J185</f>
        <v>#VALUE!</v>
      </c>
      <c r="BZ177" t="e" cm="1">
        <f t="array" ref="BZ177">MMULT(TRANSPOSE($L$2:$L$82),BZ$84:BZ$164)/BZ178/$J185</f>
        <v>#VALUE!</v>
      </c>
      <c r="CA177" t="e" cm="1">
        <f t="array" ref="CA177">MMULT(TRANSPOSE($L$2:$L$82),CA$84:CA$164)/CA178/$J185</f>
        <v>#VALUE!</v>
      </c>
      <c r="CB177" t="e" cm="1">
        <f t="array" ref="CB177">MMULT(TRANSPOSE($L$2:$L$82),CB$84:CB$164)/CB178/$J185</f>
        <v>#VALUE!</v>
      </c>
      <c r="CC177" t="e" cm="1">
        <f t="array" ref="CC177">MMULT(TRANSPOSE($L$2:$L$82),CC$84:CC$164)/CC178/$J185</f>
        <v>#VALUE!</v>
      </c>
      <c r="CD177" t="e" cm="1">
        <f t="array" ref="CD177">MMULT(TRANSPOSE($L$2:$L$82),CD$84:CD$164)/CD178/$J185</f>
        <v>#VALUE!</v>
      </c>
      <c r="CE177" t="e" cm="1">
        <f t="array" ref="CE177">MMULT(TRANSPOSE($L$2:$L$82),CE$84:CE$164)/CE178/$J185</f>
        <v>#VALUE!</v>
      </c>
      <c r="CF177" t="e" cm="1">
        <f t="array" ref="CF177">MMULT(TRANSPOSE($L$2:$L$82),CF$84:CF$164)/CF178/$J185</f>
        <v>#VALUE!</v>
      </c>
      <c r="CG177" t="e" cm="1">
        <f t="array" ref="CG177">MMULT(TRANSPOSE($L$2:$L$82),CG$84:CG$164)/CG178/$J185</f>
        <v>#VALUE!</v>
      </c>
      <c r="CH177" t="e" cm="1">
        <f t="array" ref="CH177">MMULT(TRANSPOSE($L$2:$L$82),CH$84:CH$164)/CH178/$J185</f>
        <v>#VALUE!</v>
      </c>
      <c r="CI177" t="e" cm="1">
        <f t="array" ref="CI177">MMULT(TRANSPOSE($L$2:$L$82),CI$84:CI$164)/CI178/$J185</f>
        <v>#VALUE!</v>
      </c>
      <c r="CJ177" t="e" cm="1">
        <f t="array" ref="CJ177">MMULT(TRANSPOSE($L$2:$L$82),CJ$84:CJ$164)/CJ178/$J185</f>
        <v>#VALUE!</v>
      </c>
      <c r="CK177" t="e" cm="1">
        <f t="array" ref="CK177">MMULT(TRANSPOSE($L$2:$L$82),CK$84:CK$164)/CK178/$J185</f>
        <v>#VALUE!</v>
      </c>
      <c r="CL177" t="e" cm="1">
        <f t="array" ref="CL177">MMULT(TRANSPOSE($L$2:$L$82),CL$84:CL$164)/CL178/$J185</f>
        <v>#VALUE!</v>
      </c>
      <c r="CM177" t="e" cm="1">
        <f t="array" ref="CM177">MMULT(TRANSPOSE($L$2:$L$82),CM$84:CM$164)/CM178/$J185</f>
        <v>#VALUE!</v>
      </c>
      <c r="CN177" t="e" cm="1">
        <f t="array" ref="CN177">MMULT(TRANSPOSE($L$2:$L$82),CN$84:CN$164)/CN178/$J185</f>
        <v>#VALUE!</v>
      </c>
      <c r="CO177" t="e" cm="1">
        <f t="array" ref="CO177">MMULT(TRANSPOSE($L$2:$L$82),CO$84:CO$164)/CO178/$J185</f>
        <v>#VALUE!</v>
      </c>
      <c r="CP177" t="e" cm="1">
        <f t="array" ref="CP177">MMULT(TRANSPOSE($L$2:$L$82),CP$84:CP$164)/CP178/$J185</f>
        <v>#VALUE!</v>
      </c>
      <c r="CQ177" t="e" cm="1">
        <f t="array" ref="CQ177">MMULT(TRANSPOSE($L$2:$L$82),CQ$84:CQ$164)/CQ178/$J185</f>
        <v>#VALUE!</v>
      </c>
      <c r="CR177" t="e" cm="1">
        <f t="array" ref="CR177">MMULT(TRANSPOSE($L$2:$L$82),CR$84:CR$164)/CR178/$J185</f>
        <v>#VALUE!</v>
      </c>
      <c r="CS177" t="e" cm="1">
        <f t="array" ref="CS177">MMULT(TRANSPOSE($L$2:$L$82),CS$84:CS$164)/CS178/$J185</f>
        <v>#VALUE!</v>
      </c>
      <c r="CT177" t="e" cm="1">
        <f t="array" ref="CT177">MMULT(TRANSPOSE($L$2:$L$82),CT$84:CT$164)/CT178/$J185</f>
        <v>#VALUE!</v>
      </c>
      <c r="CU177" t="e" cm="1">
        <f t="array" ref="CU177">MMULT(TRANSPOSE($L$2:$L$82),CU$84:CU$164)/CU178/$J185</f>
        <v>#VALUE!</v>
      </c>
      <c r="CV177" t="e" cm="1">
        <f t="array" ref="CV177">MMULT(TRANSPOSE($L$2:$L$82),CV$84:CV$164)/CV178/$J185</f>
        <v>#VALUE!</v>
      </c>
      <c r="CW177" t="e" cm="1">
        <f t="array" ref="CW177">MMULT(TRANSPOSE($L$2:$L$82),CW$84:CW$164)/CW178/$J185</f>
        <v>#VALUE!</v>
      </c>
      <c r="CX177" t="e" cm="1">
        <f t="array" ref="CX177">MMULT(TRANSPOSE($L$2:$L$82),CX$84:CX$164)/CX178/$J185</f>
        <v>#VALUE!</v>
      </c>
      <c r="CY177" t="e" cm="1">
        <f t="array" ref="CY177">MMULT(TRANSPOSE($L$2:$L$82),CY$84:CY$164)/CY178/$J185</f>
        <v>#VALUE!</v>
      </c>
      <c r="CZ177" t="e" cm="1">
        <f t="array" ref="CZ177">MMULT(TRANSPOSE($L$2:$L$82),CZ$84:CZ$164)/CZ178/$J185</f>
        <v>#VALUE!</v>
      </c>
      <c r="DA177" t="e" cm="1">
        <f t="array" ref="DA177">MMULT(TRANSPOSE($L$2:$L$82),DA$84:DA$164)/DA178/$J185</f>
        <v>#VALUE!</v>
      </c>
      <c r="DB177" t="e" cm="1">
        <f t="array" ref="DB177">MMULT(TRANSPOSE($L$2:$L$82),DB$84:DB$164)/DB178/$J185</f>
        <v>#VALUE!</v>
      </c>
    </row>
    <row r="178" spans="10:106">
      <c r="K178" s="12"/>
      <c r="O178" t="s">
        <v>27</v>
      </c>
      <c r="P178" s="8">
        <f>SUM($K$2:$K$82)</f>
        <v>2324.0849956380011</v>
      </c>
      <c r="Q178" s="8">
        <f t="shared" ref="Q178:CD178" si="19">SUM($K$2:$K$82)</f>
        <v>2324.0849956380011</v>
      </c>
      <c r="R178" s="8">
        <f t="shared" si="19"/>
        <v>2324.0849956380011</v>
      </c>
      <c r="S178" s="8">
        <f t="shared" si="19"/>
        <v>2324.0849956380011</v>
      </c>
      <c r="T178" s="8">
        <f t="shared" si="19"/>
        <v>2324.0849956380011</v>
      </c>
      <c r="U178" s="8">
        <f t="shared" si="19"/>
        <v>2324.0849956380011</v>
      </c>
      <c r="V178" s="8">
        <f t="shared" si="19"/>
        <v>2324.0849956380011</v>
      </c>
      <c r="W178" s="8">
        <f t="shared" si="19"/>
        <v>2324.0849956380011</v>
      </c>
      <c r="X178" s="8">
        <f t="shared" si="19"/>
        <v>2324.0849956380011</v>
      </c>
      <c r="Y178" s="8">
        <f t="shared" si="19"/>
        <v>2324.0849956380011</v>
      </c>
      <c r="Z178" s="8">
        <f t="shared" si="19"/>
        <v>2324.0849956380011</v>
      </c>
      <c r="AA178" s="8">
        <f t="shared" si="19"/>
        <v>2324.0849956380011</v>
      </c>
      <c r="AB178" s="8">
        <f t="shared" si="19"/>
        <v>2324.0849956380011</v>
      </c>
      <c r="AC178" s="8">
        <f t="shared" si="19"/>
        <v>2324.0849956380011</v>
      </c>
      <c r="AD178" s="8">
        <f t="shared" si="19"/>
        <v>2324.0849956380011</v>
      </c>
      <c r="AE178" s="8">
        <f t="shared" si="19"/>
        <v>2324.0849956380011</v>
      </c>
      <c r="AF178" s="8">
        <f t="shared" si="19"/>
        <v>2324.0849956380011</v>
      </c>
      <c r="AG178" s="8">
        <f t="shared" si="19"/>
        <v>2324.0849956380011</v>
      </c>
      <c r="AH178" s="8">
        <f t="shared" si="19"/>
        <v>2324.0849956380011</v>
      </c>
      <c r="AI178" s="8">
        <f t="shared" si="19"/>
        <v>2324.0849956380011</v>
      </c>
      <c r="AJ178" s="8">
        <f t="shared" si="19"/>
        <v>2324.0849956380011</v>
      </c>
      <c r="AK178" s="8">
        <f t="shared" si="19"/>
        <v>2324.0849956380011</v>
      </c>
      <c r="AL178" s="8">
        <f t="shared" si="19"/>
        <v>2324.0849956380011</v>
      </c>
      <c r="AM178" s="8">
        <f t="shared" si="19"/>
        <v>2324.0849956380011</v>
      </c>
      <c r="AN178" s="8">
        <f t="shared" si="19"/>
        <v>2324.0849956380011</v>
      </c>
      <c r="AO178" s="8">
        <f t="shared" si="19"/>
        <v>2324.0849956380011</v>
      </c>
      <c r="AP178" s="8">
        <f t="shared" si="19"/>
        <v>2324.0849956380011</v>
      </c>
      <c r="AQ178" s="8">
        <f t="shared" si="19"/>
        <v>2324.0849956380011</v>
      </c>
      <c r="AR178" s="8">
        <f t="shared" si="19"/>
        <v>2324.0849956380011</v>
      </c>
      <c r="AS178" s="8">
        <f t="shared" si="19"/>
        <v>2324.0849956380011</v>
      </c>
      <c r="AT178" s="8">
        <f t="shared" si="19"/>
        <v>2324.0849956380011</v>
      </c>
      <c r="AU178" s="8">
        <f t="shared" si="19"/>
        <v>2324.0849956380011</v>
      </c>
      <c r="AV178" s="8">
        <f t="shared" si="19"/>
        <v>2324.0849956380011</v>
      </c>
      <c r="AW178" s="8">
        <f t="shared" si="19"/>
        <v>2324.0849956380011</v>
      </c>
      <c r="AX178" s="8">
        <f t="shared" si="19"/>
        <v>2324.0849956380011</v>
      </c>
      <c r="AY178" s="8">
        <f t="shared" si="19"/>
        <v>2324.0849956380011</v>
      </c>
      <c r="AZ178" s="8">
        <f t="shared" si="19"/>
        <v>2324.0849956380011</v>
      </c>
      <c r="BA178" s="8">
        <f t="shared" si="19"/>
        <v>2324.0849956380011</v>
      </c>
      <c r="BB178" s="8">
        <f t="shared" si="19"/>
        <v>2324.0849956380011</v>
      </c>
      <c r="BC178" s="8">
        <f t="shared" si="19"/>
        <v>2324.0849956380011</v>
      </c>
      <c r="BD178" s="8">
        <f t="shared" si="19"/>
        <v>2324.0849956380011</v>
      </c>
      <c r="BE178" s="8">
        <f t="shared" si="19"/>
        <v>2324.0849956380011</v>
      </c>
      <c r="BF178" s="8">
        <f t="shared" si="19"/>
        <v>2324.0849956380011</v>
      </c>
      <c r="BG178" s="8">
        <f t="shared" si="19"/>
        <v>2324.0849956380011</v>
      </c>
      <c r="BH178" s="8">
        <f t="shared" si="19"/>
        <v>2324.0849956380011</v>
      </c>
      <c r="BI178" s="8">
        <f t="shared" si="19"/>
        <v>2324.0849956380011</v>
      </c>
      <c r="BJ178" s="8">
        <f t="shared" si="19"/>
        <v>2324.0849956380011</v>
      </c>
      <c r="BK178" s="8">
        <f t="shared" si="19"/>
        <v>2324.0849956380011</v>
      </c>
      <c r="BL178" s="8">
        <f t="shared" si="19"/>
        <v>2324.0849956380011</v>
      </c>
      <c r="BM178" s="8">
        <f t="shared" si="19"/>
        <v>2324.0849956380011</v>
      </c>
      <c r="BN178" s="8">
        <f t="shared" si="19"/>
        <v>2324.0849956380011</v>
      </c>
      <c r="BO178" s="8">
        <f t="shared" si="19"/>
        <v>2324.0849956380011</v>
      </c>
      <c r="BP178" s="8">
        <f t="shared" si="19"/>
        <v>2324.0849956380011</v>
      </c>
      <c r="BQ178" s="8">
        <f t="shared" si="19"/>
        <v>2324.0849956380011</v>
      </c>
      <c r="BR178" s="8">
        <f t="shared" si="19"/>
        <v>2324.0849956380011</v>
      </c>
      <c r="BS178" s="8">
        <f t="shared" si="19"/>
        <v>2324.0849956380011</v>
      </c>
      <c r="BT178" s="8">
        <f t="shared" si="19"/>
        <v>2324.0849956380011</v>
      </c>
      <c r="BU178" s="8">
        <f t="shared" si="19"/>
        <v>2324.0849956380011</v>
      </c>
      <c r="BV178" s="8">
        <f t="shared" si="19"/>
        <v>2324.0849956380011</v>
      </c>
      <c r="BW178" s="8">
        <f t="shared" si="19"/>
        <v>2324.0849956380011</v>
      </c>
      <c r="BX178" s="8">
        <f t="shared" si="19"/>
        <v>2324.0849956380011</v>
      </c>
      <c r="BY178" s="8">
        <f t="shared" si="19"/>
        <v>2324.0849956380011</v>
      </c>
      <c r="BZ178" s="8">
        <f t="shared" si="19"/>
        <v>2324.0849956380011</v>
      </c>
      <c r="CA178" s="8">
        <f t="shared" si="19"/>
        <v>2324.0849956380011</v>
      </c>
      <c r="CB178" s="8">
        <f t="shared" si="19"/>
        <v>2324.0849956380011</v>
      </c>
      <c r="CC178" s="8">
        <f t="shared" ref="CC178:DA178" si="20">SUM($K$2:$K$82)</f>
        <v>2324.0849956380011</v>
      </c>
      <c r="CD178" s="8">
        <f t="shared" si="19"/>
        <v>2324.0849956380011</v>
      </c>
      <c r="CE178" s="8">
        <f t="shared" ref="CE178:DB178" si="21">SUM($K$2:$K$82)</f>
        <v>2324.0849956380011</v>
      </c>
      <c r="CF178" s="8">
        <f t="shared" si="21"/>
        <v>2324.0849956380011</v>
      </c>
      <c r="CG178" s="8">
        <f t="shared" si="20"/>
        <v>2324.0849956380011</v>
      </c>
      <c r="CH178" s="8">
        <f t="shared" si="21"/>
        <v>2324.0849956380011</v>
      </c>
      <c r="CI178" s="8">
        <f t="shared" si="21"/>
        <v>2324.0849956380011</v>
      </c>
      <c r="CJ178" s="8">
        <f t="shared" si="21"/>
        <v>2324.0849956380011</v>
      </c>
      <c r="CK178" s="8">
        <f t="shared" si="20"/>
        <v>2324.0849956380011</v>
      </c>
      <c r="CL178" s="8">
        <f t="shared" si="21"/>
        <v>2324.0849956380011</v>
      </c>
      <c r="CM178" s="8">
        <f t="shared" si="21"/>
        <v>2324.0849956380011</v>
      </c>
      <c r="CN178" s="8">
        <f t="shared" si="21"/>
        <v>2324.0849956380011</v>
      </c>
      <c r="CO178" s="8">
        <f t="shared" si="20"/>
        <v>2324.0849956380011</v>
      </c>
      <c r="CP178" s="8">
        <f t="shared" si="21"/>
        <v>2324.0849956380011</v>
      </c>
      <c r="CQ178" s="8">
        <f t="shared" si="21"/>
        <v>2324.0849956380011</v>
      </c>
      <c r="CR178" s="8">
        <f t="shared" si="21"/>
        <v>2324.0849956380011</v>
      </c>
      <c r="CS178" s="8">
        <f t="shared" si="20"/>
        <v>2324.0849956380011</v>
      </c>
      <c r="CT178" s="8">
        <f t="shared" si="21"/>
        <v>2324.0849956380011</v>
      </c>
      <c r="CU178" s="8">
        <f t="shared" si="21"/>
        <v>2324.0849956380011</v>
      </c>
      <c r="CV178" s="8">
        <f t="shared" si="21"/>
        <v>2324.0849956380011</v>
      </c>
      <c r="CW178" s="8">
        <f t="shared" si="20"/>
        <v>2324.0849956380011</v>
      </c>
      <c r="CX178" s="8">
        <f t="shared" si="21"/>
        <v>2324.0849956380011</v>
      </c>
      <c r="CY178" s="8">
        <f t="shared" si="21"/>
        <v>2324.0849956380011</v>
      </c>
      <c r="CZ178" s="8">
        <f t="shared" si="21"/>
        <v>2324.0849956380011</v>
      </c>
      <c r="DA178" s="8">
        <f t="shared" si="20"/>
        <v>2324.0849956380011</v>
      </c>
      <c r="DB178" s="8">
        <f t="shared" si="21"/>
        <v>2324.0849956380011</v>
      </c>
    </row>
    <row r="180" spans="10:106">
      <c r="O180" t="s">
        <v>0</v>
      </c>
      <c r="P180">
        <f t="shared" ref="P180:R181" ca="1" si="22">P175/SUM(P$175:P$177)</f>
        <v>0.27568416164733789</v>
      </c>
      <c r="Q180">
        <f t="shared" ca="1" si="22"/>
        <v>0.31055536003399825</v>
      </c>
      <c r="R180">
        <f t="shared" ca="1" si="22"/>
        <v>0.30409131623673047</v>
      </c>
      <c r="S180">
        <f t="shared" ref="S180:AJ180" ca="1" si="23">S175/SUM(S$175:S$177)</f>
        <v>0.27812983990157664</v>
      </c>
      <c r="T180">
        <f t="shared" ca="1" si="23"/>
        <v>0.3087496841199488</v>
      </c>
      <c r="U180">
        <f t="shared" ca="1" si="23"/>
        <v>0.33502212728969288</v>
      </c>
      <c r="V180">
        <f t="shared" ca="1" si="23"/>
        <v>0.3251813070645222</v>
      </c>
      <c r="W180">
        <f t="shared" ca="1" si="23"/>
        <v>0.32447348214548433</v>
      </c>
      <c r="X180" t="e">
        <f t="shared" si="23"/>
        <v>#VALUE!</v>
      </c>
      <c r="Y180" t="e">
        <f t="shared" si="23"/>
        <v>#VALUE!</v>
      </c>
      <c r="Z180" t="e">
        <f t="shared" si="23"/>
        <v>#VALUE!</v>
      </c>
      <c r="AA180" t="e">
        <f t="shared" si="23"/>
        <v>#VALUE!</v>
      </c>
      <c r="AB180" t="e">
        <f t="shared" si="23"/>
        <v>#VALUE!</v>
      </c>
      <c r="AC180" t="e">
        <f t="shared" si="23"/>
        <v>#VALUE!</v>
      </c>
      <c r="AD180" t="e">
        <f t="shared" si="23"/>
        <v>#VALUE!</v>
      </c>
      <c r="AE180" t="e">
        <f t="shared" si="23"/>
        <v>#VALUE!</v>
      </c>
      <c r="AF180" t="e">
        <f t="shared" si="23"/>
        <v>#VALUE!</v>
      </c>
      <c r="AG180" t="e">
        <f t="shared" si="23"/>
        <v>#VALUE!</v>
      </c>
      <c r="AH180" t="e">
        <f t="shared" si="23"/>
        <v>#VALUE!</v>
      </c>
      <c r="AI180" t="e">
        <f t="shared" si="23"/>
        <v>#VALUE!</v>
      </c>
      <c r="AJ180" t="e">
        <f t="shared" si="23"/>
        <v>#VALUE!</v>
      </c>
      <c r="AK180" t="e">
        <f t="shared" ref="AK180:CC180" si="24">AK175/SUM(AK$175:AK$177)</f>
        <v>#VALUE!</v>
      </c>
      <c r="AL180" t="e">
        <f t="shared" si="24"/>
        <v>#VALUE!</v>
      </c>
      <c r="AM180" t="e">
        <f t="shared" si="24"/>
        <v>#VALUE!</v>
      </c>
      <c r="AN180" t="e">
        <f t="shared" si="24"/>
        <v>#VALUE!</v>
      </c>
      <c r="AO180" t="e">
        <f t="shared" si="24"/>
        <v>#VALUE!</v>
      </c>
      <c r="AP180" t="e">
        <f t="shared" si="24"/>
        <v>#VALUE!</v>
      </c>
      <c r="AQ180" t="e">
        <f t="shared" si="24"/>
        <v>#VALUE!</v>
      </c>
      <c r="AR180" t="e">
        <f t="shared" si="24"/>
        <v>#VALUE!</v>
      </c>
      <c r="AS180" t="e">
        <f t="shared" si="24"/>
        <v>#VALUE!</v>
      </c>
      <c r="AT180" t="e">
        <f t="shared" si="24"/>
        <v>#VALUE!</v>
      </c>
      <c r="AU180" t="e">
        <f t="shared" si="24"/>
        <v>#VALUE!</v>
      </c>
      <c r="AV180" t="e">
        <f t="shared" si="24"/>
        <v>#VALUE!</v>
      </c>
      <c r="AW180" t="e">
        <f t="shared" si="24"/>
        <v>#VALUE!</v>
      </c>
      <c r="AX180" t="e">
        <f t="shared" si="24"/>
        <v>#VALUE!</v>
      </c>
      <c r="AY180" t="e">
        <f t="shared" si="24"/>
        <v>#VALUE!</v>
      </c>
      <c r="AZ180" t="e">
        <f t="shared" si="24"/>
        <v>#VALUE!</v>
      </c>
      <c r="BA180" t="e">
        <f t="shared" si="24"/>
        <v>#VALUE!</v>
      </c>
      <c r="BB180" t="e">
        <f t="shared" si="24"/>
        <v>#VALUE!</v>
      </c>
      <c r="BC180" t="e">
        <f t="shared" si="24"/>
        <v>#VALUE!</v>
      </c>
      <c r="BD180" t="e">
        <f t="shared" si="24"/>
        <v>#VALUE!</v>
      </c>
      <c r="BE180" t="e">
        <f t="shared" si="24"/>
        <v>#VALUE!</v>
      </c>
      <c r="BF180" t="e">
        <f t="shared" si="24"/>
        <v>#VALUE!</v>
      </c>
      <c r="BG180" t="e">
        <f t="shared" si="24"/>
        <v>#VALUE!</v>
      </c>
      <c r="BH180" t="e">
        <f t="shared" si="24"/>
        <v>#VALUE!</v>
      </c>
      <c r="BI180" t="e">
        <f t="shared" si="24"/>
        <v>#VALUE!</v>
      </c>
      <c r="BJ180" t="e">
        <f t="shared" si="24"/>
        <v>#VALUE!</v>
      </c>
      <c r="BK180" t="e">
        <f t="shared" si="24"/>
        <v>#VALUE!</v>
      </c>
      <c r="BL180" t="e">
        <f t="shared" si="24"/>
        <v>#VALUE!</v>
      </c>
      <c r="BM180" t="e">
        <f t="shared" si="24"/>
        <v>#VALUE!</v>
      </c>
      <c r="BN180" t="e">
        <f t="shared" si="24"/>
        <v>#VALUE!</v>
      </c>
      <c r="BO180" t="e">
        <f t="shared" si="24"/>
        <v>#VALUE!</v>
      </c>
      <c r="BP180" t="e">
        <f t="shared" si="24"/>
        <v>#VALUE!</v>
      </c>
      <c r="BQ180" t="e">
        <f t="shared" si="24"/>
        <v>#VALUE!</v>
      </c>
      <c r="BR180" t="e">
        <f t="shared" si="24"/>
        <v>#VALUE!</v>
      </c>
      <c r="BS180" t="e">
        <f t="shared" si="24"/>
        <v>#VALUE!</v>
      </c>
      <c r="BT180" t="e">
        <f t="shared" si="24"/>
        <v>#VALUE!</v>
      </c>
      <c r="BU180" t="e">
        <f t="shared" si="24"/>
        <v>#VALUE!</v>
      </c>
      <c r="BV180" t="e">
        <f t="shared" si="24"/>
        <v>#VALUE!</v>
      </c>
      <c r="BW180" t="e">
        <f t="shared" si="24"/>
        <v>#VALUE!</v>
      </c>
      <c r="BX180" t="e">
        <f t="shared" si="24"/>
        <v>#VALUE!</v>
      </c>
      <c r="BY180" t="e">
        <f t="shared" si="24"/>
        <v>#VALUE!</v>
      </c>
      <c r="BZ180" t="e">
        <f t="shared" si="24"/>
        <v>#VALUE!</v>
      </c>
      <c r="CA180" t="e">
        <f t="shared" si="24"/>
        <v>#VALUE!</v>
      </c>
      <c r="CB180" t="e">
        <f t="shared" si="24"/>
        <v>#VALUE!</v>
      </c>
      <c r="CC180" t="e">
        <f t="shared" si="24"/>
        <v>#VALUE!</v>
      </c>
      <c r="CD180" t="e">
        <f t="shared" ref="CD180:DB180" si="25">CD175/SUM(CD$175:CD$177)</f>
        <v>#VALUE!</v>
      </c>
      <c r="CE180" t="e">
        <f t="shared" si="25"/>
        <v>#VALUE!</v>
      </c>
      <c r="CF180" t="e">
        <f t="shared" si="25"/>
        <v>#VALUE!</v>
      </c>
      <c r="CG180" t="e">
        <f t="shared" si="25"/>
        <v>#VALUE!</v>
      </c>
      <c r="CH180" t="e">
        <f t="shared" si="25"/>
        <v>#VALUE!</v>
      </c>
      <c r="CI180" t="e">
        <f t="shared" si="25"/>
        <v>#VALUE!</v>
      </c>
      <c r="CJ180" t="e">
        <f t="shared" si="25"/>
        <v>#VALUE!</v>
      </c>
      <c r="CK180" t="e">
        <f t="shared" si="25"/>
        <v>#VALUE!</v>
      </c>
      <c r="CL180" t="e">
        <f t="shared" si="25"/>
        <v>#VALUE!</v>
      </c>
      <c r="CM180" t="e">
        <f t="shared" si="25"/>
        <v>#VALUE!</v>
      </c>
      <c r="CN180" t="e">
        <f t="shared" si="25"/>
        <v>#VALUE!</v>
      </c>
      <c r="CO180" t="e">
        <f t="shared" si="25"/>
        <v>#VALUE!</v>
      </c>
      <c r="CP180" t="e">
        <f t="shared" si="25"/>
        <v>#VALUE!</v>
      </c>
      <c r="CQ180" t="e">
        <f t="shared" si="25"/>
        <v>#VALUE!</v>
      </c>
      <c r="CR180" t="e">
        <f t="shared" si="25"/>
        <v>#VALUE!</v>
      </c>
      <c r="CS180" t="e">
        <f t="shared" si="25"/>
        <v>#VALUE!</v>
      </c>
      <c r="CT180" t="e">
        <f t="shared" si="25"/>
        <v>#VALUE!</v>
      </c>
      <c r="CU180" t="e">
        <f t="shared" si="25"/>
        <v>#VALUE!</v>
      </c>
      <c r="CV180" t="e">
        <f t="shared" si="25"/>
        <v>#VALUE!</v>
      </c>
      <c r="CW180" t="e">
        <f t="shared" si="25"/>
        <v>#VALUE!</v>
      </c>
      <c r="CX180" t="e">
        <f t="shared" si="25"/>
        <v>#VALUE!</v>
      </c>
      <c r="CY180" t="e">
        <f t="shared" si="25"/>
        <v>#VALUE!</v>
      </c>
      <c r="CZ180" t="e">
        <f t="shared" si="25"/>
        <v>#VALUE!</v>
      </c>
      <c r="DA180" t="e">
        <f t="shared" si="25"/>
        <v>#VALUE!</v>
      </c>
      <c r="DB180" t="e">
        <f t="shared" si="25"/>
        <v>#VALUE!</v>
      </c>
    </row>
    <row r="181" spans="10:106">
      <c r="O181" t="s">
        <v>1</v>
      </c>
      <c r="P181">
        <f t="shared" ca="1" si="22"/>
        <v>0.30356816662469127</v>
      </c>
      <c r="Q181">
        <f t="shared" ca="1" si="22"/>
        <v>0.33149878049876536</v>
      </c>
      <c r="R181">
        <f t="shared" ca="1" si="22"/>
        <v>0.32770499772139766</v>
      </c>
      <c r="S181">
        <f t="shared" ref="S181:AJ181" ca="1" si="26">S176/SUM(S$175:S$177)</f>
        <v>0.31774988902553697</v>
      </c>
      <c r="T181">
        <f t="shared" ca="1" si="26"/>
        <v>0.34009612824204888</v>
      </c>
      <c r="U181">
        <f t="shared" ca="1" si="26"/>
        <v>0.35568096533589244</v>
      </c>
      <c r="V181">
        <f t="shared" ca="1" si="26"/>
        <v>0.34096725594245769</v>
      </c>
      <c r="W181">
        <f t="shared" ca="1" si="26"/>
        <v>0.34002674858770243</v>
      </c>
      <c r="X181" t="e">
        <f t="shared" si="26"/>
        <v>#VALUE!</v>
      </c>
      <c r="Y181" t="e">
        <f t="shared" si="26"/>
        <v>#VALUE!</v>
      </c>
      <c r="Z181" t="e">
        <f t="shared" si="26"/>
        <v>#VALUE!</v>
      </c>
      <c r="AA181" t="e">
        <f t="shared" si="26"/>
        <v>#VALUE!</v>
      </c>
      <c r="AB181" t="e">
        <f t="shared" si="26"/>
        <v>#VALUE!</v>
      </c>
      <c r="AC181" t="e">
        <f t="shared" si="26"/>
        <v>#VALUE!</v>
      </c>
      <c r="AD181" t="e">
        <f t="shared" si="26"/>
        <v>#VALUE!</v>
      </c>
      <c r="AE181" t="e">
        <f t="shared" si="26"/>
        <v>#VALUE!</v>
      </c>
      <c r="AF181" t="e">
        <f t="shared" si="26"/>
        <v>#VALUE!</v>
      </c>
      <c r="AG181" t="e">
        <f t="shared" si="26"/>
        <v>#VALUE!</v>
      </c>
      <c r="AH181" t="e">
        <f t="shared" si="26"/>
        <v>#VALUE!</v>
      </c>
      <c r="AI181" t="e">
        <f t="shared" si="26"/>
        <v>#VALUE!</v>
      </c>
      <c r="AJ181" t="e">
        <f t="shared" si="26"/>
        <v>#VALUE!</v>
      </c>
      <c r="AK181" t="e">
        <f t="shared" ref="AK181:CC181" si="27">AK176/SUM(AK$175:AK$177)</f>
        <v>#VALUE!</v>
      </c>
      <c r="AL181" t="e">
        <f t="shared" si="27"/>
        <v>#VALUE!</v>
      </c>
      <c r="AM181" t="e">
        <f t="shared" si="27"/>
        <v>#VALUE!</v>
      </c>
      <c r="AN181" t="e">
        <f t="shared" si="27"/>
        <v>#VALUE!</v>
      </c>
      <c r="AO181" t="e">
        <f t="shared" si="27"/>
        <v>#VALUE!</v>
      </c>
      <c r="AP181" t="e">
        <f t="shared" si="27"/>
        <v>#VALUE!</v>
      </c>
      <c r="AQ181" t="e">
        <f t="shared" si="27"/>
        <v>#VALUE!</v>
      </c>
      <c r="AR181" t="e">
        <f t="shared" si="27"/>
        <v>#VALUE!</v>
      </c>
      <c r="AS181" t="e">
        <f t="shared" si="27"/>
        <v>#VALUE!</v>
      </c>
      <c r="AT181" t="e">
        <f t="shared" si="27"/>
        <v>#VALUE!</v>
      </c>
      <c r="AU181" t="e">
        <f t="shared" si="27"/>
        <v>#VALUE!</v>
      </c>
      <c r="AV181" t="e">
        <f t="shared" si="27"/>
        <v>#VALUE!</v>
      </c>
      <c r="AW181" t="e">
        <f t="shared" si="27"/>
        <v>#VALUE!</v>
      </c>
      <c r="AX181" t="e">
        <f t="shared" si="27"/>
        <v>#VALUE!</v>
      </c>
      <c r="AY181" t="e">
        <f t="shared" si="27"/>
        <v>#VALUE!</v>
      </c>
      <c r="AZ181" t="e">
        <f t="shared" si="27"/>
        <v>#VALUE!</v>
      </c>
      <c r="BA181" t="e">
        <f t="shared" si="27"/>
        <v>#VALUE!</v>
      </c>
      <c r="BB181" t="e">
        <f t="shared" si="27"/>
        <v>#VALUE!</v>
      </c>
      <c r="BC181" t="e">
        <f t="shared" si="27"/>
        <v>#VALUE!</v>
      </c>
      <c r="BD181" t="e">
        <f t="shared" si="27"/>
        <v>#VALUE!</v>
      </c>
      <c r="BE181" t="e">
        <f t="shared" si="27"/>
        <v>#VALUE!</v>
      </c>
      <c r="BF181" t="e">
        <f t="shared" si="27"/>
        <v>#VALUE!</v>
      </c>
      <c r="BG181" t="e">
        <f t="shared" si="27"/>
        <v>#VALUE!</v>
      </c>
      <c r="BH181" t="e">
        <f t="shared" si="27"/>
        <v>#VALUE!</v>
      </c>
      <c r="BI181" t="e">
        <f t="shared" si="27"/>
        <v>#VALUE!</v>
      </c>
      <c r="BJ181" t="e">
        <f t="shared" si="27"/>
        <v>#VALUE!</v>
      </c>
      <c r="BK181" t="e">
        <f t="shared" si="27"/>
        <v>#VALUE!</v>
      </c>
      <c r="BL181" t="e">
        <f t="shared" si="27"/>
        <v>#VALUE!</v>
      </c>
      <c r="BM181" t="e">
        <f t="shared" si="27"/>
        <v>#VALUE!</v>
      </c>
      <c r="BN181" t="e">
        <f t="shared" si="27"/>
        <v>#VALUE!</v>
      </c>
      <c r="BO181" t="e">
        <f t="shared" si="27"/>
        <v>#VALUE!</v>
      </c>
      <c r="BP181" t="e">
        <f t="shared" si="27"/>
        <v>#VALUE!</v>
      </c>
      <c r="BQ181" t="e">
        <f t="shared" si="27"/>
        <v>#VALUE!</v>
      </c>
      <c r="BR181" t="e">
        <f t="shared" si="27"/>
        <v>#VALUE!</v>
      </c>
      <c r="BS181" t="e">
        <f t="shared" si="27"/>
        <v>#VALUE!</v>
      </c>
      <c r="BT181" t="e">
        <f t="shared" si="27"/>
        <v>#VALUE!</v>
      </c>
      <c r="BU181" t="e">
        <f t="shared" si="27"/>
        <v>#VALUE!</v>
      </c>
      <c r="BV181" t="e">
        <f t="shared" si="27"/>
        <v>#VALUE!</v>
      </c>
      <c r="BW181" t="e">
        <f t="shared" si="27"/>
        <v>#VALUE!</v>
      </c>
      <c r="BX181" t="e">
        <f t="shared" si="27"/>
        <v>#VALUE!</v>
      </c>
      <c r="BY181" t="e">
        <f t="shared" si="27"/>
        <v>#VALUE!</v>
      </c>
      <c r="BZ181" t="e">
        <f t="shared" si="27"/>
        <v>#VALUE!</v>
      </c>
      <c r="CA181" t="e">
        <f t="shared" si="27"/>
        <v>#VALUE!</v>
      </c>
      <c r="CB181" t="e">
        <f t="shared" si="27"/>
        <v>#VALUE!</v>
      </c>
      <c r="CC181" t="e">
        <f t="shared" si="27"/>
        <v>#VALUE!</v>
      </c>
      <c r="CD181" t="e">
        <f t="shared" ref="CD181:DB181" si="28">CD176/SUM(CD$175:CD$177)</f>
        <v>#VALUE!</v>
      </c>
      <c r="CE181" t="e">
        <f t="shared" si="28"/>
        <v>#VALUE!</v>
      </c>
      <c r="CF181" t="e">
        <f t="shared" si="28"/>
        <v>#VALUE!</v>
      </c>
      <c r="CG181" t="e">
        <f t="shared" si="28"/>
        <v>#VALUE!</v>
      </c>
      <c r="CH181" t="e">
        <f t="shared" si="28"/>
        <v>#VALUE!</v>
      </c>
      <c r="CI181" t="e">
        <f t="shared" si="28"/>
        <v>#VALUE!</v>
      </c>
      <c r="CJ181" t="e">
        <f t="shared" si="28"/>
        <v>#VALUE!</v>
      </c>
      <c r="CK181" t="e">
        <f t="shared" si="28"/>
        <v>#VALUE!</v>
      </c>
      <c r="CL181" t="e">
        <f t="shared" si="28"/>
        <v>#VALUE!</v>
      </c>
      <c r="CM181" t="e">
        <f t="shared" si="28"/>
        <v>#VALUE!</v>
      </c>
      <c r="CN181" t="e">
        <f t="shared" si="28"/>
        <v>#VALUE!</v>
      </c>
      <c r="CO181" t="e">
        <f t="shared" si="28"/>
        <v>#VALUE!</v>
      </c>
      <c r="CP181" t="e">
        <f t="shared" si="28"/>
        <v>#VALUE!</v>
      </c>
      <c r="CQ181" t="e">
        <f t="shared" si="28"/>
        <v>#VALUE!</v>
      </c>
      <c r="CR181" t="e">
        <f t="shared" si="28"/>
        <v>#VALUE!</v>
      </c>
      <c r="CS181" t="e">
        <f t="shared" si="28"/>
        <v>#VALUE!</v>
      </c>
      <c r="CT181" t="e">
        <f t="shared" si="28"/>
        <v>#VALUE!</v>
      </c>
      <c r="CU181" t="e">
        <f t="shared" si="28"/>
        <v>#VALUE!</v>
      </c>
      <c r="CV181" t="e">
        <f t="shared" si="28"/>
        <v>#VALUE!</v>
      </c>
      <c r="CW181" t="e">
        <f t="shared" si="28"/>
        <v>#VALUE!</v>
      </c>
      <c r="CX181" t="e">
        <f t="shared" si="28"/>
        <v>#VALUE!</v>
      </c>
      <c r="CY181" t="e">
        <f t="shared" si="28"/>
        <v>#VALUE!</v>
      </c>
      <c r="CZ181" t="e">
        <f t="shared" si="28"/>
        <v>#VALUE!</v>
      </c>
      <c r="DA181" t="e">
        <f t="shared" si="28"/>
        <v>#VALUE!</v>
      </c>
      <c r="DB181" t="e">
        <f t="shared" si="28"/>
        <v>#VALUE!</v>
      </c>
    </row>
    <row r="182" spans="10:106">
      <c r="O182" t="s">
        <v>19</v>
      </c>
      <c r="P182">
        <f t="shared" ref="P182:AJ182" ca="1" si="29">P176</f>
        <v>0.69384458019557238</v>
      </c>
      <c r="Q182">
        <f t="shared" ca="1" si="29"/>
        <v>0.81885632067890479</v>
      </c>
      <c r="R182">
        <f t="shared" ca="1" si="29"/>
        <v>0.6750649204084388</v>
      </c>
      <c r="S182">
        <f t="shared" ca="1" si="29"/>
        <v>0.63561816629572965</v>
      </c>
      <c r="T182">
        <f t="shared" ca="1" si="29"/>
        <v>0.70503650237327375</v>
      </c>
      <c r="U182">
        <f t="shared" ca="1" si="29"/>
        <v>0.66127752046829413</v>
      </c>
      <c r="V182">
        <f t="shared" ca="1" si="29"/>
        <v>0.84473092707434039</v>
      </c>
      <c r="W182">
        <f t="shared" ca="1" si="29"/>
        <v>0.83635917409462968</v>
      </c>
      <c r="X182" t="e">
        <f t="shared" si="29"/>
        <v>#VALUE!</v>
      </c>
      <c r="Y182" t="e">
        <f t="shared" si="29"/>
        <v>#VALUE!</v>
      </c>
      <c r="Z182" t="e">
        <f t="shared" si="29"/>
        <v>#VALUE!</v>
      </c>
      <c r="AA182" t="e">
        <f t="shared" si="29"/>
        <v>#VALUE!</v>
      </c>
      <c r="AB182" t="e">
        <f t="shared" si="29"/>
        <v>#VALUE!</v>
      </c>
      <c r="AC182" t="e">
        <f t="shared" si="29"/>
        <v>#VALUE!</v>
      </c>
      <c r="AD182" t="e">
        <f t="shared" si="29"/>
        <v>#VALUE!</v>
      </c>
      <c r="AE182" t="e">
        <f t="shared" si="29"/>
        <v>#VALUE!</v>
      </c>
      <c r="AF182" t="e">
        <f t="shared" si="29"/>
        <v>#VALUE!</v>
      </c>
      <c r="AG182" t="e">
        <f t="shared" si="29"/>
        <v>#VALUE!</v>
      </c>
      <c r="AH182" t="e">
        <f t="shared" si="29"/>
        <v>#VALUE!</v>
      </c>
      <c r="AI182" t="e">
        <f t="shared" si="29"/>
        <v>#VALUE!</v>
      </c>
      <c r="AJ182" t="e">
        <f t="shared" si="29"/>
        <v>#VALUE!</v>
      </c>
      <c r="AK182" t="e">
        <f t="shared" ref="AK182:CC182" si="30">AK176</f>
        <v>#VALUE!</v>
      </c>
      <c r="AL182" t="e">
        <f t="shared" si="30"/>
        <v>#VALUE!</v>
      </c>
      <c r="AM182" t="e">
        <f t="shared" si="30"/>
        <v>#VALUE!</v>
      </c>
      <c r="AN182" t="e">
        <f t="shared" si="30"/>
        <v>#VALUE!</v>
      </c>
      <c r="AO182" t="e">
        <f t="shared" si="30"/>
        <v>#VALUE!</v>
      </c>
      <c r="AP182" t="e">
        <f t="shared" si="30"/>
        <v>#VALUE!</v>
      </c>
      <c r="AQ182" t="e">
        <f t="shared" si="30"/>
        <v>#VALUE!</v>
      </c>
      <c r="AR182" t="e">
        <f t="shared" si="30"/>
        <v>#VALUE!</v>
      </c>
      <c r="AS182" t="e">
        <f t="shared" si="30"/>
        <v>#VALUE!</v>
      </c>
      <c r="AT182" t="e">
        <f t="shared" si="30"/>
        <v>#VALUE!</v>
      </c>
      <c r="AU182" t="e">
        <f t="shared" si="30"/>
        <v>#VALUE!</v>
      </c>
      <c r="AV182" t="e">
        <f t="shared" si="30"/>
        <v>#VALUE!</v>
      </c>
      <c r="AW182" t="e">
        <f t="shared" si="30"/>
        <v>#VALUE!</v>
      </c>
      <c r="AX182" t="e">
        <f t="shared" si="30"/>
        <v>#VALUE!</v>
      </c>
      <c r="AY182" t="e">
        <f t="shared" si="30"/>
        <v>#VALUE!</v>
      </c>
      <c r="AZ182" t="e">
        <f t="shared" si="30"/>
        <v>#VALUE!</v>
      </c>
      <c r="BA182" t="e">
        <f t="shared" si="30"/>
        <v>#VALUE!</v>
      </c>
      <c r="BB182" t="e">
        <f t="shared" si="30"/>
        <v>#VALUE!</v>
      </c>
      <c r="BC182" t="e">
        <f t="shared" si="30"/>
        <v>#VALUE!</v>
      </c>
      <c r="BD182" t="e">
        <f t="shared" si="30"/>
        <v>#VALUE!</v>
      </c>
      <c r="BE182" t="e">
        <f t="shared" si="30"/>
        <v>#VALUE!</v>
      </c>
      <c r="BF182" t="e">
        <f t="shared" si="30"/>
        <v>#VALUE!</v>
      </c>
      <c r="BG182" t="e">
        <f t="shared" si="30"/>
        <v>#VALUE!</v>
      </c>
      <c r="BH182" t="e">
        <f t="shared" si="30"/>
        <v>#VALUE!</v>
      </c>
      <c r="BI182" t="e">
        <f t="shared" si="30"/>
        <v>#VALUE!</v>
      </c>
      <c r="BJ182" t="e">
        <f t="shared" si="30"/>
        <v>#VALUE!</v>
      </c>
      <c r="BK182" t="e">
        <f t="shared" si="30"/>
        <v>#VALUE!</v>
      </c>
      <c r="BL182" t="e">
        <f t="shared" si="30"/>
        <v>#VALUE!</v>
      </c>
      <c r="BM182" t="e">
        <f t="shared" si="30"/>
        <v>#VALUE!</v>
      </c>
      <c r="BN182" t="e">
        <f t="shared" si="30"/>
        <v>#VALUE!</v>
      </c>
      <c r="BO182" t="e">
        <f t="shared" si="30"/>
        <v>#VALUE!</v>
      </c>
      <c r="BP182" t="e">
        <f t="shared" si="30"/>
        <v>#VALUE!</v>
      </c>
      <c r="BQ182" t="e">
        <f t="shared" si="30"/>
        <v>#VALUE!</v>
      </c>
      <c r="BR182" t="e">
        <f t="shared" si="30"/>
        <v>#VALUE!</v>
      </c>
      <c r="BS182" t="e">
        <f t="shared" si="30"/>
        <v>#VALUE!</v>
      </c>
      <c r="BT182" t="e">
        <f t="shared" si="30"/>
        <v>#VALUE!</v>
      </c>
      <c r="BU182" t="e">
        <f t="shared" si="30"/>
        <v>#VALUE!</v>
      </c>
      <c r="BV182" t="e">
        <f t="shared" si="30"/>
        <v>#VALUE!</v>
      </c>
      <c r="BW182" t="e">
        <f t="shared" si="30"/>
        <v>#VALUE!</v>
      </c>
      <c r="BX182" t="e">
        <f t="shared" si="30"/>
        <v>#VALUE!</v>
      </c>
      <c r="BY182" t="e">
        <f t="shared" si="30"/>
        <v>#VALUE!</v>
      </c>
      <c r="BZ182" t="e">
        <f t="shared" si="30"/>
        <v>#VALUE!</v>
      </c>
      <c r="CA182" t="e">
        <f t="shared" si="30"/>
        <v>#VALUE!</v>
      </c>
      <c r="CB182" t="e">
        <f t="shared" si="30"/>
        <v>#VALUE!</v>
      </c>
      <c r="CC182" t="e">
        <f t="shared" si="30"/>
        <v>#VALUE!</v>
      </c>
      <c r="CD182" t="e">
        <f t="shared" ref="CD182:DB182" si="31">CD176</f>
        <v>#VALUE!</v>
      </c>
      <c r="CE182" t="e">
        <f t="shared" si="31"/>
        <v>#VALUE!</v>
      </c>
      <c r="CF182" t="e">
        <f t="shared" si="31"/>
        <v>#VALUE!</v>
      </c>
      <c r="CG182" t="e">
        <f t="shared" si="31"/>
        <v>#VALUE!</v>
      </c>
      <c r="CH182" t="e">
        <f t="shared" si="31"/>
        <v>#VALUE!</v>
      </c>
      <c r="CI182" t="e">
        <f t="shared" si="31"/>
        <v>#VALUE!</v>
      </c>
      <c r="CJ182" t="e">
        <f t="shared" si="31"/>
        <v>#VALUE!</v>
      </c>
      <c r="CK182" t="e">
        <f t="shared" si="31"/>
        <v>#VALUE!</v>
      </c>
      <c r="CL182" t="e">
        <f t="shared" si="31"/>
        <v>#VALUE!</v>
      </c>
      <c r="CM182" t="e">
        <f t="shared" si="31"/>
        <v>#VALUE!</v>
      </c>
      <c r="CN182" t="e">
        <f t="shared" si="31"/>
        <v>#VALUE!</v>
      </c>
      <c r="CO182" t="e">
        <f t="shared" si="31"/>
        <v>#VALUE!</v>
      </c>
      <c r="CP182" t="e">
        <f t="shared" si="31"/>
        <v>#VALUE!</v>
      </c>
      <c r="CQ182" t="e">
        <f t="shared" si="31"/>
        <v>#VALUE!</v>
      </c>
      <c r="CR182" t="e">
        <f t="shared" si="31"/>
        <v>#VALUE!</v>
      </c>
      <c r="CS182" t="e">
        <f t="shared" si="31"/>
        <v>#VALUE!</v>
      </c>
      <c r="CT182" t="e">
        <f t="shared" si="31"/>
        <v>#VALUE!</v>
      </c>
      <c r="CU182" t="e">
        <f t="shared" si="31"/>
        <v>#VALUE!</v>
      </c>
      <c r="CV182" t="e">
        <f t="shared" si="31"/>
        <v>#VALUE!</v>
      </c>
      <c r="CW182" t="e">
        <f t="shared" si="31"/>
        <v>#VALUE!</v>
      </c>
      <c r="CX182" t="e">
        <f t="shared" si="31"/>
        <v>#VALUE!</v>
      </c>
      <c r="CY182" t="e">
        <f t="shared" si="31"/>
        <v>#VALUE!</v>
      </c>
      <c r="CZ182" t="e">
        <f t="shared" si="31"/>
        <v>#VALUE!</v>
      </c>
      <c r="DA182" t="e">
        <f t="shared" si="31"/>
        <v>#VALUE!</v>
      </c>
      <c r="DB182" t="e">
        <f t="shared" si="31"/>
        <v>#VALUE!</v>
      </c>
    </row>
    <row r="183" spans="10:106">
      <c r="J183">
        <f>K183/M183</f>
        <v>0.99752532029834384</v>
      </c>
      <c r="K183">
        <v>0.94811789118396683</v>
      </c>
      <c r="L183">
        <v>95.046999999999997</v>
      </c>
      <c r="M183">
        <f>L183/100</f>
        <v>0.95046999999999993</v>
      </c>
    </row>
    <row r="184" spans="10:106">
      <c r="J184">
        <f t="shared" ref="J184:J185" si="32">K184/M184</f>
        <v>1</v>
      </c>
      <c r="K184">
        <v>1</v>
      </c>
      <c r="L184">
        <v>100</v>
      </c>
      <c r="M184">
        <f t="shared" ref="M184:M185" si="33">L184/100</f>
        <v>1</v>
      </c>
      <c r="O184" s="5" t="s">
        <v>21</v>
      </c>
      <c r="P184" s="9">
        <f ca="1">116*P193-16</f>
        <v>86.694075446070087</v>
      </c>
      <c r="Q184" s="9">
        <f t="shared" ref="Q184:R184" ca="1" si="34">116*Q193-16</f>
        <v>92.524357773250784</v>
      </c>
      <c r="R184" s="9">
        <f t="shared" ca="1" si="34"/>
        <v>85.759079421879377</v>
      </c>
      <c r="S184" s="9">
        <f t="shared" ref="S184:AJ184" ca="1" si="35">116*S193-16</f>
        <v>83.737104575561247</v>
      </c>
      <c r="T184" s="9">
        <f t="shared" ca="1" si="35"/>
        <v>87.243295049190294</v>
      </c>
      <c r="U184" s="9">
        <f t="shared" ca="1" si="35"/>
        <v>85.061539354537132</v>
      </c>
      <c r="V184" s="9">
        <f t="shared" ca="1" si="35"/>
        <v>93.655592910152549</v>
      </c>
      <c r="W184" s="9">
        <f t="shared" ca="1" si="35"/>
        <v>93.292140289799477</v>
      </c>
      <c r="X184" s="9" t="e">
        <f t="shared" si="35"/>
        <v>#VALUE!</v>
      </c>
      <c r="Y184" s="9" t="e">
        <f t="shared" si="35"/>
        <v>#VALUE!</v>
      </c>
      <c r="Z184" s="9" t="e">
        <f t="shared" si="35"/>
        <v>#VALUE!</v>
      </c>
      <c r="AA184" s="9" t="e">
        <f t="shared" si="35"/>
        <v>#VALUE!</v>
      </c>
      <c r="AB184" s="9" t="e">
        <f t="shared" si="35"/>
        <v>#VALUE!</v>
      </c>
      <c r="AC184" s="9" t="e">
        <f t="shared" si="35"/>
        <v>#VALUE!</v>
      </c>
      <c r="AD184" s="9" t="e">
        <f t="shared" si="35"/>
        <v>#VALUE!</v>
      </c>
      <c r="AE184" s="9" t="e">
        <f t="shared" si="35"/>
        <v>#VALUE!</v>
      </c>
      <c r="AF184" s="9" t="e">
        <f t="shared" si="35"/>
        <v>#VALUE!</v>
      </c>
      <c r="AG184" s="9" t="e">
        <f t="shared" si="35"/>
        <v>#VALUE!</v>
      </c>
      <c r="AH184" s="9" t="e">
        <f t="shared" si="35"/>
        <v>#VALUE!</v>
      </c>
      <c r="AI184" s="9" t="e">
        <f t="shared" si="35"/>
        <v>#VALUE!</v>
      </c>
      <c r="AJ184" s="9" t="e">
        <f t="shared" si="35"/>
        <v>#VALUE!</v>
      </c>
      <c r="AK184" s="9" t="e">
        <f t="shared" ref="AK184:CC184" si="36">116*AK193-16</f>
        <v>#VALUE!</v>
      </c>
      <c r="AL184" s="9" t="e">
        <f t="shared" si="36"/>
        <v>#VALUE!</v>
      </c>
      <c r="AM184" s="9" t="e">
        <f t="shared" si="36"/>
        <v>#VALUE!</v>
      </c>
      <c r="AN184" s="9" t="e">
        <f t="shared" si="36"/>
        <v>#VALUE!</v>
      </c>
      <c r="AO184" s="9" t="e">
        <f t="shared" si="36"/>
        <v>#VALUE!</v>
      </c>
      <c r="AP184" s="9" t="e">
        <f t="shared" si="36"/>
        <v>#VALUE!</v>
      </c>
      <c r="AQ184" s="9" t="e">
        <f t="shared" si="36"/>
        <v>#VALUE!</v>
      </c>
      <c r="AR184" s="9" t="e">
        <f t="shared" si="36"/>
        <v>#VALUE!</v>
      </c>
      <c r="AS184" s="9" t="e">
        <f t="shared" si="36"/>
        <v>#VALUE!</v>
      </c>
      <c r="AT184" s="9" t="e">
        <f t="shared" si="36"/>
        <v>#VALUE!</v>
      </c>
      <c r="AU184" s="9" t="e">
        <f t="shared" si="36"/>
        <v>#VALUE!</v>
      </c>
      <c r="AV184" s="9" t="e">
        <f t="shared" si="36"/>
        <v>#VALUE!</v>
      </c>
      <c r="AW184" s="9" t="e">
        <f t="shared" si="36"/>
        <v>#VALUE!</v>
      </c>
      <c r="AX184" s="9" t="e">
        <f t="shared" si="36"/>
        <v>#VALUE!</v>
      </c>
      <c r="AY184" s="9" t="e">
        <f t="shared" si="36"/>
        <v>#VALUE!</v>
      </c>
      <c r="AZ184" s="9" t="e">
        <f t="shared" si="36"/>
        <v>#VALUE!</v>
      </c>
      <c r="BA184" s="9" t="e">
        <f t="shared" si="36"/>
        <v>#VALUE!</v>
      </c>
      <c r="BB184" s="9" t="e">
        <f t="shared" si="36"/>
        <v>#VALUE!</v>
      </c>
      <c r="BC184" s="9" t="e">
        <f t="shared" si="36"/>
        <v>#VALUE!</v>
      </c>
      <c r="BD184" s="9" t="e">
        <f t="shared" si="36"/>
        <v>#VALUE!</v>
      </c>
      <c r="BE184" s="9" t="e">
        <f t="shared" si="36"/>
        <v>#VALUE!</v>
      </c>
      <c r="BF184" s="9" t="e">
        <f t="shared" si="36"/>
        <v>#VALUE!</v>
      </c>
      <c r="BG184" s="9" t="e">
        <f t="shared" si="36"/>
        <v>#VALUE!</v>
      </c>
      <c r="BH184" s="9" t="e">
        <f t="shared" si="36"/>
        <v>#VALUE!</v>
      </c>
      <c r="BI184" s="9" t="e">
        <f t="shared" si="36"/>
        <v>#VALUE!</v>
      </c>
      <c r="BJ184" s="9" t="e">
        <f t="shared" si="36"/>
        <v>#VALUE!</v>
      </c>
      <c r="BK184" s="9" t="e">
        <f t="shared" si="36"/>
        <v>#VALUE!</v>
      </c>
      <c r="BL184" s="9" t="e">
        <f t="shared" si="36"/>
        <v>#VALUE!</v>
      </c>
      <c r="BM184" s="9" t="e">
        <f t="shared" si="36"/>
        <v>#VALUE!</v>
      </c>
      <c r="BN184" s="9" t="e">
        <f t="shared" si="36"/>
        <v>#VALUE!</v>
      </c>
      <c r="BO184" s="9" t="e">
        <f t="shared" si="36"/>
        <v>#VALUE!</v>
      </c>
      <c r="BP184" s="9" t="e">
        <f t="shared" si="36"/>
        <v>#VALUE!</v>
      </c>
      <c r="BQ184" s="9" t="e">
        <f t="shared" si="36"/>
        <v>#VALUE!</v>
      </c>
      <c r="BR184" s="9" t="e">
        <f t="shared" si="36"/>
        <v>#VALUE!</v>
      </c>
      <c r="BS184" s="9" t="e">
        <f t="shared" si="36"/>
        <v>#VALUE!</v>
      </c>
      <c r="BT184" s="9" t="e">
        <f t="shared" si="36"/>
        <v>#VALUE!</v>
      </c>
      <c r="BU184" s="9" t="e">
        <f t="shared" si="36"/>
        <v>#VALUE!</v>
      </c>
      <c r="BV184" s="9" t="e">
        <f t="shared" si="36"/>
        <v>#VALUE!</v>
      </c>
      <c r="BW184" s="9" t="e">
        <f t="shared" si="36"/>
        <v>#VALUE!</v>
      </c>
      <c r="BX184" s="9" t="e">
        <f t="shared" si="36"/>
        <v>#VALUE!</v>
      </c>
      <c r="BY184" s="9" t="e">
        <f t="shared" si="36"/>
        <v>#VALUE!</v>
      </c>
      <c r="BZ184" s="9" t="e">
        <f t="shared" si="36"/>
        <v>#VALUE!</v>
      </c>
      <c r="CA184" s="9" t="e">
        <f t="shared" si="36"/>
        <v>#VALUE!</v>
      </c>
      <c r="CB184" s="9" t="e">
        <f t="shared" si="36"/>
        <v>#VALUE!</v>
      </c>
      <c r="CC184" s="9" t="e">
        <f t="shared" si="36"/>
        <v>#VALUE!</v>
      </c>
      <c r="CD184" s="9" t="e">
        <f t="shared" ref="CD184:DB184" si="37">116*CD193-16</f>
        <v>#VALUE!</v>
      </c>
      <c r="CE184" s="9" t="e">
        <f t="shared" si="37"/>
        <v>#VALUE!</v>
      </c>
      <c r="CF184" s="9" t="e">
        <f t="shared" si="37"/>
        <v>#VALUE!</v>
      </c>
      <c r="CG184" s="9" t="e">
        <f t="shared" si="37"/>
        <v>#VALUE!</v>
      </c>
      <c r="CH184" s="9" t="e">
        <f t="shared" si="37"/>
        <v>#VALUE!</v>
      </c>
      <c r="CI184" s="9" t="e">
        <f t="shared" si="37"/>
        <v>#VALUE!</v>
      </c>
      <c r="CJ184" s="9" t="e">
        <f t="shared" si="37"/>
        <v>#VALUE!</v>
      </c>
      <c r="CK184" s="9" t="e">
        <f t="shared" si="37"/>
        <v>#VALUE!</v>
      </c>
      <c r="CL184" s="9" t="e">
        <f t="shared" si="37"/>
        <v>#VALUE!</v>
      </c>
      <c r="CM184" s="9" t="e">
        <f t="shared" si="37"/>
        <v>#VALUE!</v>
      </c>
      <c r="CN184" s="9" t="e">
        <f t="shared" si="37"/>
        <v>#VALUE!</v>
      </c>
      <c r="CO184" s="9" t="e">
        <f t="shared" si="37"/>
        <v>#VALUE!</v>
      </c>
      <c r="CP184" s="9" t="e">
        <f t="shared" si="37"/>
        <v>#VALUE!</v>
      </c>
      <c r="CQ184" s="9" t="e">
        <f t="shared" si="37"/>
        <v>#VALUE!</v>
      </c>
      <c r="CR184" s="9" t="e">
        <f t="shared" si="37"/>
        <v>#VALUE!</v>
      </c>
      <c r="CS184" s="9" t="e">
        <f t="shared" si="37"/>
        <v>#VALUE!</v>
      </c>
      <c r="CT184" s="9" t="e">
        <f t="shared" si="37"/>
        <v>#VALUE!</v>
      </c>
      <c r="CU184" s="9" t="e">
        <f t="shared" si="37"/>
        <v>#VALUE!</v>
      </c>
      <c r="CV184" s="9" t="e">
        <f t="shared" si="37"/>
        <v>#VALUE!</v>
      </c>
      <c r="CW184" s="9" t="e">
        <f t="shared" si="37"/>
        <v>#VALUE!</v>
      </c>
      <c r="CX184" s="9" t="e">
        <f t="shared" si="37"/>
        <v>#VALUE!</v>
      </c>
      <c r="CY184" s="9" t="e">
        <f t="shared" si="37"/>
        <v>#VALUE!</v>
      </c>
      <c r="CZ184" s="9" t="e">
        <f t="shared" si="37"/>
        <v>#VALUE!</v>
      </c>
      <c r="DA184" s="9" t="e">
        <f t="shared" si="37"/>
        <v>#VALUE!</v>
      </c>
      <c r="DB184" s="9" t="e">
        <f t="shared" si="37"/>
        <v>#VALUE!</v>
      </c>
    </row>
    <row r="185" spans="10:106">
      <c r="J185">
        <f t="shared" si="32"/>
        <v>0.98568201604298367</v>
      </c>
      <c r="K185">
        <v>1.0732401495280819</v>
      </c>
      <c r="L185">
        <v>108.883</v>
      </c>
      <c r="M185">
        <f t="shared" si="33"/>
        <v>1.08883</v>
      </c>
      <c r="O185" s="5" t="s">
        <v>17</v>
      </c>
      <c r="P185" s="9">
        <f ca="1">500*(P192-P193)</f>
        <v>-6.6703279620568541</v>
      </c>
      <c r="Q185" s="9">
        <f t="shared" ref="Q185:R185" ca="1" si="38">500*(Q192-Q193)</f>
        <v>-2.2497697988759779</v>
      </c>
      <c r="R185" s="9">
        <f t="shared" ca="1" si="38"/>
        <v>-3.493062616144238</v>
      </c>
      <c r="S185" s="9">
        <f t="shared" ref="S185:AJ185" ca="1" si="39">500*(S192-S193)</f>
        <v>-11.644176582947585</v>
      </c>
      <c r="T185" s="9">
        <f t="shared" ca="1" si="39"/>
        <v>-6.7567145419172858</v>
      </c>
      <c r="U185" s="9">
        <f t="shared" ca="1" si="39"/>
        <v>-1.3105038708062788</v>
      </c>
      <c r="V185" s="9">
        <f t="shared" ca="1" si="39"/>
        <v>0.53520868552975331</v>
      </c>
      <c r="W185" s="9">
        <f t="shared" ca="1" si="39"/>
        <v>0.62510795278519771</v>
      </c>
      <c r="X185" s="9" t="e">
        <f t="shared" si="39"/>
        <v>#VALUE!</v>
      </c>
      <c r="Y185" s="9" t="e">
        <f t="shared" si="39"/>
        <v>#VALUE!</v>
      </c>
      <c r="Z185" s="9" t="e">
        <f t="shared" si="39"/>
        <v>#VALUE!</v>
      </c>
      <c r="AA185" s="9" t="e">
        <f t="shared" si="39"/>
        <v>#VALUE!</v>
      </c>
      <c r="AB185" s="9" t="e">
        <f t="shared" si="39"/>
        <v>#VALUE!</v>
      </c>
      <c r="AC185" s="9" t="e">
        <f t="shared" si="39"/>
        <v>#VALUE!</v>
      </c>
      <c r="AD185" s="9" t="e">
        <f t="shared" si="39"/>
        <v>#VALUE!</v>
      </c>
      <c r="AE185" s="9" t="e">
        <f t="shared" si="39"/>
        <v>#VALUE!</v>
      </c>
      <c r="AF185" s="9" t="e">
        <f t="shared" si="39"/>
        <v>#VALUE!</v>
      </c>
      <c r="AG185" s="9" t="e">
        <f t="shared" si="39"/>
        <v>#VALUE!</v>
      </c>
      <c r="AH185" s="9" t="e">
        <f t="shared" si="39"/>
        <v>#VALUE!</v>
      </c>
      <c r="AI185" s="9" t="e">
        <f t="shared" si="39"/>
        <v>#VALUE!</v>
      </c>
      <c r="AJ185" s="9" t="e">
        <f t="shared" si="39"/>
        <v>#VALUE!</v>
      </c>
      <c r="AK185" s="9" t="e">
        <f t="shared" ref="AK185:CC185" si="40">500*(AK192-AK193)</f>
        <v>#VALUE!</v>
      </c>
      <c r="AL185" s="9" t="e">
        <f t="shared" si="40"/>
        <v>#VALUE!</v>
      </c>
      <c r="AM185" s="9" t="e">
        <f t="shared" si="40"/>
        <v>#VALUE!</v>
      </c>
      <c r="AN185" s="9" t="e">
        <f t="shared" si="40"/>
        <v>#VALUE!</v>
      </c>
      <c r="AO185" s="9" t="e">
        <f t="shared" si="40"/>
        <v>#VALUE!</v>
      </c>
      <c r="AP185" s="9" t="e">
        <f t="shared" si="40"/>
        <v>#VALUE!</v>
      </c>
      <c r="AQ185" s="9" t="e">
        <f t="shared" si="40"/>
        <v>#VALUE!</v>
      </c>
      <c r="AR185" s="9" t="e">
        <f t="shared" si="40"/>
        <v>#VALUE!</v>
      </c>
      <c r="AS185" s="9" t="e">
        <f t="shared" si="40"/>
        <v>#VALUE!</v>
      </c>
      <c r="AT185" s="9" t="e">
        <f t="shared" si="40"/>
        <v>#VALUE!</v>
      </c>
      <c r="AU185" s="9" t="e">
        <f t="shared" si="40"/>
        <v>#VALUE!</v>
      </c>
      <c r="AV185" s="9" t="e">
        <f t="shared" si="40"/>
        <v>#VALUE!</v>
      </c>
      <c r="AW185" s="9" t="e">
        <f t="shared" si="40"/>
        <v>#VALUE!</v>
      </c>
      <c r="AX185" s="9" t="e">
        <f t="shared" si="40"/>
        <v>#VALUE!</v>
      </c>
      <c r="AY185" s="9" t="e">
        <f t="shared" si="40"/>
        <v>#VALUE!</v>
      </c>
      <c r="AZ185" s="9" t="e">
        <f t="shared" si="40"/>
        <v>#VALUE!</v>
      </c>
      <c r="BA185" s="9" t="e">
        <f t="shared" si="40"/>
        <v>#VALUE!</v>
      </c>
      <c r="BB185" s="9" t="e">
        <f t="shared" si="40"/>
        <v>#VALUE!</v>
      </c>
      <c r="BC185" s="9" t="e">
        <f t="shared" si="40"/>
        <v>#VALUE!</v>
      </c>
      <c r="BD185" s="9" t="e">
        <f t="shared" si="40"/>
        <v>#VALUE!</v>
      </c>
      <c r="BE185" s="9" t="e">
        <f t="shared" si="40"/>
        <v>#VALUE!</v>
      </c>
      <c r="BF185" s="9" t="e">
        <f t="shared" si="40"/>
        <v>#VALUE!</v>
      </c>
      <c r="BG185" s="9" t="e">
        <f t="shared" si="40"/>
        <v>#VALUE!</v>
      </c>
      <c r="BH185" s="9" t="e">
        <f t="shared" si="40"/>
        <v>#VALUE!</v>
      </c>
      <c r="BI185" s="9" t="e">
        <f t="shared" si="40"/>
        <v>#VALUE!</v>
      </c>
      <c r="BJ185" s="9" t="e">
        <f t="shared" si="40"/>
        <v>#VALUE!</v>
      </c>
      <c r="BK185" s="9" t="e">
        <f t="shared" si="40"/>
        <v>#VALUE!</v>
      </c>
      <c r="BL185" s="9" t="e">
        <f t="shared" si="40"/>
        <v>#VALUE!</v>
      </c>
      <c r="BM185" s="9" t="e">
        <f t="shared" si="40"/>
        <v>#VALUE!</v>
      </c>
      <c r="BN185" s="9" t="e">
        <f t="shared" si="40"/>
        <v>#VALUE!</v>
      </c>
      <c r="BO185" s="9" t="e">
        <f t="shared" si="40"/>
        <v>#VALUE!</v>
      </c>
      <c r="BP185" s="9" t="e">
        <f t="shared" si="40"/>
        <v>#VALUE!</v>
      </c>
      <c r="BQ185" s="9" t="e">
        <f t="shared" si="40"/>
        <v>#VALUE!</v>
      </c>
      <c r="BR185" s="9" t="e">
        <f t="shared" si="40"/>
        <v>#VALUE!</v>
      </c>
      <c r="BS185" s="9" t="e">
        <f t="shared" si="40"/>
        <v>#VALUE!</v>
      </c>
      <c r="BT185" s="9" t="e">
        <f t="shared" si="40"/>
        <v>#VALUE!</v>
      </c>
      <c r="BU185" s="9" t="e">
        <f t="shared" si="40"/>
        <v>#VALUE!</v>
      </c>
      <c r="BV185" s="9" t="e">
        <f t="shared" si="40"/>
        <v>#VALUE!</v>
      </c>
      <c r="BW185" s="9" t="e">
        <f t="shared" si="40"/>
        <v>#VALUE!</v>
      </c>
      <c r="BX185" s="9" t="e">
        <f t="shared" si="40"/>
        <v>#VALUE!</v>
      </c>
      <c r="BY185" s="9" t="e">
        <f t="shared" si="40"/>
        <v>#VALUE!</v>
      </c>
      <c r="BZ185" s="9" t="e">
        <f t="shared" si="40"/>
        <v>#VALUE!</v>
      </c>
      <c r="CA185" s="9" t="e">
        <f t="shared" si="40"/>
        <v>#VALUE!</v>
      </c>
      <c r="CB185" s="9" t="e">
        <f t="shared" si="40"/>
        <v>#VALUE!</v>
      </c>
      <c r="CC185" s="9" t="e">
        <f t="shared" si="40"/>
        <v>#VALUE!</v>
      </c>
      <c r="CD185" s="9" t="e">
        <f t="shared" ref="CD185:DB185" si="41">500*(CD192-CD193)</f>
        <v>#VALUE!</v>
      </c>
      <c r="CE185" s="9" t="e">
        <f t="shared" si="41"/>
        <v>#VALUE!</v>
      </c>
      <c r="CF185" s="9" t="e">
        <f t="shared" si="41"/>
        <v>#VALUE!</v>
      </c>
      <c r="CG185" s="9" t="e">
        <f t="shared" si="41"/>
        <v>#VALUE!</v>
      </c>
      <c r="CH185" s="9" t="e">
        <f t="shared" si="41"/>
        <v>#VALUE!</v>
      </c>
      <c r="CI185" s="9" t="e">
        <f t="shared" si="41"/>
        <v>#VALUE!</v>
      </c>
      <c r="CJ185" s="9" t="e">
        <f t="shared" si="41"/>
        <v>#VALUE!</v>
      </c>
      <c r="CK185" s="9" t="e">
        <f t="shared" si="41"/>
        <v>#VALUE!</v>
      </c>
      <c r="CL185" s="9" t="e">
        <f t="shared" si="41"/>
        <v>#VALUE!</v>
      </c>
      <c r="CM185" s="9" t="e">
        <f t="shared" si="41"/>
        <v>#VALUE!</v>
      </c>
      <c r="CN185" s="9" t="e">
        <f t="shared" si="41"/>
        <v>#VALUE!</v>
      </c>
      <c r="CO185" s="9" t="e">
        <f t="shared" si="41"/>
        <v>#VALUE!</v>
      </c>
      <c r="CP185" s="9" t="e">
        <f t="shared" si="41"/>
        <v>#VALUE!</v>
      </c>
      <c r="CQ185" s="9" t="e">
        <f t="shared" si="41"/>
        <v>#VALUE!</v>
      </c>
      <c r="CR185" s="9" t="e">
        <f t="shared" si="41"/>
        <v>#VALUE!</v>
      </c>
      <c r="CS185" s="9" t="e">
        <f t="shared" si="41"/>
        <v>#VALUE!</v>
      </c>
      <c r="CT185" s="9" t="e">
        <f t="shared" si="41"/>
        <v>#VALUE!</v>
      </c>
      <c r="CU185" s="9" t="e">
        <f t="shared" si="41"/>
        <v>#VALUE!</v>
      </c>
      <c r="CV185" s="9" t="e">
        <f t="shared" si="41"/>
        <v>#VALUE!</v>
      </c>
      <c r="CW185" s="9" t="e">
        <f t="shared" si="41"/>
        <v>#VALUE!</v>
      </c>
      <c r="CX185" s="9" t="e">
        <f t="shared" si="41"/>
        <v>#VALUE!</v>
      </c>
      <c r="CY185" s="9" t="e">
        <f t="shared" si="41"/>
        <v>#VALUE!</v>
      </c>
      <c r="CZ185" s="9" t="e">
        <f t="shared" si="41"/>
        <v>#VALUE!</v>
      </c>
      <c r="DA185" s="9" t="e">
        <f t="shared" si="41"/>
        <v>#VALUE!</v>
      </c>
      <c r="DB185" s="9" t="e">
        <f t="shared" si="41"/>
        <v>#VALUE!</v>
      </c>
    </row>
    <row r="186" spans="10:106">
      <c r="O186" s="5" t="s">
        <v>22</v>
      </c>
      <c r="P186" s="9">
        <f ca="1">200*(P193-P194)</f>
        <v>-14.831333782569512</v>
      </c>
      <c r="Q186" s="9">
        <f t="shared" ref="Q186:R186" ca="1" si="42">200*(Q193-Q194)</f>
        <v>0.51982623901432046</v>
      </c>
      <c r="R186" s="9">
        <f t="shared" ca="1" si="42"/>
        <v>-1.8470937783815922</v>
      </c>
      <c r="S186" s="9">
        <f t="shared" ref="S186:AJ186" ca="1" si="43">200*(S193-S194)</f>
        <v>-9.138930957845659</v>
      </c>
      <c r="T186" s="9">
        <f t="shared" ca="1" si="43"/>
        <v>3.1233668425054484</v>
      </c>
      <c r="U186" s="9">
        <f t="shared" ca="1" si="43"/>
        <v>12.581440309553438</v>
      </c>
      <c r="V186" s="9">
        <f t="shared" ca="1" si="43"/>
        <v>6.575335767539503</v>
      </c>
      <c r="W186" s="9">
        <f t="shared" ca="1" si="43"/>
        <v>6.0868836241680491</v>
      </c>
      <c r="X186" s="9" t="e">
        <f t="shared" si="43"/>
        <v>#VALUE!</v>
      </c>
      <c r="Y186" s="9" t="e">
        <f t="shared" si="43"/>
        <v>#VALUE!</v>
      </c>
      <c r="Z186" s="9" t="e">
        <f t="shared" si="43"/>
        <v>#VALUE!</v>
      </c>
      <c r="AA186" s="9" t="e">
        <f t="shared" si="43"/>
        <v>#VALUE!</v>
      </c>
      <c r="AB186" s="9" t="e">
        <f t="shared" si="43"/>
        <v>#VALUE!</v>
      </c>
      <c r="AC186" s="9" t="e">
        <f t="shared" si="43"/>
        <v>#VALUE!</v>
      </c>
      <c r="AD186" s="9" t="e">
        <f t="shared" si="43"/>
        <v>#VALUE!</v>
      </c>
      <c r="AE186" s="9" t="e">
        <f t="shared" si="43"/>
        <v>#VALUE!</v>
      </c>
      <c r="AF186" s="9" t="e">
        <f t="shared" si="43"/>
        <v>#VALUE!</v>
      </c>
      <c r="AG186" s="9" t="e">
        <f t="shared" si="43"/>
        <v>#VALUE!</v>
      </c>
      <c r="AH186" s="9" t="e">
        <f t="shared" si="43"/>
        <v>#VALUE!</v>
      </c>
      <c r="AI186" s="9" t="e">
        <f t="shared" si="43"/>
        <v>#VALUE!</v>
      </c>
      <c r="AJ186" s="9" t="e">
        <f t="shared" si="43"/>
        <v>#VALUE!</v>
      </c>
      <c r="AK186" s="9" t="e">
        <f t="shared" ref="AK186:CC186" si="44">200*(AK193-AK194)</f>
        <v>#VALUE!</v>
      </c>
      <c r="AL186" s="9" t="e">
        <f t="shared" si="44"/>
        <v>#VALUE!</v>
      </c>
      <c r="AM186" s="9" t="e">
        <f t="shared" si="44"/>
        <v>#VALUE!</v>
      </c>
      <c r="AN186" s="9" t="e">
        <f t="shared" si="44"/>
        <v>#VALUE!</v>
      </c>
      <c r="AO186" s="9" t="e">
        <f t="shared" si="44"/>
        <v>#VALUE!</v>
      </c>
      <c r="AP186" s="9" t="e">
        <f t="shared" si="44"/>
        <v>#VALUE!</v>
      </c>
      <c r="AQ186" s="9" t="e">
        <f t="shared" si="44"/>
        <v>#VALUE!</v>
      </c>
      <c r="AR186" s="9" t="e">
        <f t="shared" si="44"/>
        <v>#VALUE!</v>
      </c>
      <c r="AS186" s="9" t="e">
        <f t="shared" si="44"/>
        <v>#VALUE!</v>
      </c>
      <c r="AT186" s="9" t="e">
        <f t="shared" si="44"/>
        <v>#VALUE!</v>
      </c>
      <c r="AU186" s="9" t="e">
        <f t="shared" si="44"/>
        <v>#VALUE!</v>
      </c>
      <c r="AV186" s="9" t="e">
        <f t="shared" si="44"/>
        <v>#VALUE!</v>
      </c>
      <c r="AW186" s="9" t="e">
        <f t="shared" si="44"/>
        <v>#VALUE!</v>
      </c>
      <c r="AX186" s="9" t="e">
        <f t="shared" si="44"/>
        <v>#VALUE!</v>
      </c>
      <c r="AY186" s="9" t="e">
        <f t="shared" si="44"/>
        <v>#VALUE!</v>
      </c>
      <c r="AZ186" s="9" t="e">
        <f t="shared" si="44"/>
        <v>#VALUE!</v>
      </c>
      <c r="BA186" s="9" t="e">
        <f t="shared" si="44"/>
        <v>#VALUE!</v>
      </c>
      <c r="BB186" s="9" t="e">
        <f t="shared" si="44"/>
        <v>#VALUE!</v>
      </c>
      <c r="BC186" s="9" t="e">
        <f t="shared" si="44"/>
        <v>#VALUE!</v>
      </c>
      <c r="BD186" s="9" t="e">
        <f t="shared" si="44"/>
        <v>#VALUE!</v>
      </c>
      <c r="BE186" s="9" t="e">
        <f t="shared" si="44"/>
        <v>#VALUE!</v>
      </c>
      <c r="BF186" s="9" t="e">
        <f t="shared" si="44"/>
        <v>#VALUE!</v>
      </c>
      <c r="BG186" s="9" t="e">
        <f t="shared" si="44"/>
        <v>#VALUE!</v>
      </c>
      <c r="BH186" s="9" t="e">
        <f t="shared" si="44"/>
        <v>#VALUE!</v>
      </c>
      <c r="BI186" s="9" t="e">
        <f t="shared" si="44"/>
        <v>#VALUE!</v>
      </c>
      <c r="BJ186" s="9" t="e">
        <f t="shared" si="44"/>
        <v>#VALUE!</v>
      </c>
      <c r="BK186" s="9" t="e">
        <f t="shared" si="44"/>
        <v>#VALUE!</v>
      </c>
      <c r="BL186" s="9" t="e">
        <f t="shared" si="44"/>
        <v>#VALUE!</v>
      </c>
      <c r="BM186" s="9" t="e">
        <f t="shared" si="44"/>
        <v>#VALUE!</v>
      </c>
      <c r="BN186" s="9" t="e">
        <f t="shared" si="44"/>
        <v>#VALUE!</v>
      </c>
      <c r="BO186" s="9" t="e">
        <f t="shared" si="44"/>
        <v>#VALUE!</v>
      </c>
      <c r="BP186" s="9" t="e">
        <f t="shared" si="44"/>
        <v>#VALUE!</v>
      </c>
      <c r="BQ186" s="9" t="e">
        <f t="shared" si="44"/>
        <v>#VALUE!</v>
      </c>
      <c r="BR186" s="9" t="e">
        <f t="shared" si="44"/>
        <v>#VALUE!</v>
      </c>
      <c r="BS186" s="9" t="e">
        <f t="shared" si="44"/>
        <v>#VALUE!</v>
      </c>
      <c r="BT186" s="9" t="e">
        <f t="shared" si="44"/>
        <v>#VALUE!</v>
      </c>
      <c r="BU186" s="9" t="e">
        <f t="shared" si="44"/>
        <v>#VALUE!</v>
      </c>
      <c r="BV186" s="9" t="e">
        <f t="shared" si="44"/>
        <v>#VALUE!</v>
      </c>
      <c r="BW186" s="9" t="e">
        <f t="shared" si="44"/>
        <v>#VALUE!</v>
      </c>
      <c r="BX186" s="9" t="e">
        <f t="shared" si="44"/>
        <v>#VALUE!</v>
      </c>
      <c r="BY186" s="9" t="e">
        <f t="shared" si="44"/>
        <v>#VALUE!</v>
      </c>
      <c r="BZ186" s="9" t="e">
        <f t="shared" si="44"/>
        <v>#VALUE!</v>
      </c>
      <c r="CA186" s="9" t="e">
        <f t="shared" si="44"/>
        <v>#VALUE!</v>
      </c>
      <c r="CB186" s="9" t="e">
        <f t="shared" si="44"/>
        <v>#VALUE!</v>
      </c>
      <c r="CC186" s="9" t="e">
        <f t="shared" si="44"/>
        <v>#VALUE!</v>
      </c>
      <c r="CD186" s="9" t="e">
        <f t="shared" ref="CD186:DB186" si="45">200*(CD193-CD194)</f>
        <v>#VALUE!</v>
      </c>
      <c r="CE186" s="9" t="e">
        <f t="shared" si="45"/>
        <v>#VALUE!</v>
      </c>
      <c r="CF186" s="9" t="e">
        <f t="shared" si="45"/>
        <v>#VALUE!</v>
      </c>
      <c r="CG186" s="9" t="e">
        <f t="shared" si="45"/>
        <v>#VALUE!</v>
      </c>
      <c r="CH186" s="9" t="e">
        <f t="shared" si="45"/>
        <v>#VALUE!</v>
      </c>
      <c r="CI186" s="9" t="e">
        <f t="shared" si="45"/>
        <v>#VALUE!</v>
      </c>
      <c r="CJ186" s="9" t="e">
        <f t="shared" si="45"/>
        <v>#VALUE!</v>
      </c>
      <c r="CK186" s="9" t="e">
        <f t="shared" si="45"/>
        <v>#VALUE!</v>
      </c>
      <c r="CL186" s="9" t="e">
        <f t="shared" si="45"/>
        <v>#VALUE!</v>
      </c>
      <c r="CM186" s="9" t="e">
        <f t="shared" si="45"/>
        <v>#VALUE!</v>
      </c>
      <c r="CN186" s="9" t="e">
        <f t="shared" si="45"/>
        <v>#VALUE!</v>
      </c>
      <c r="CO186" s="9" t="e">
        <f t="shared" si="45"/>
        <v>#VALUE!</v>
      </c>
      <c r="CP186" s="9" t="e">
        <f t="shared" si="45"/>
        <v>#VALUE!</v>
      </c>
      <c r="CQ186" s="9" t="e">
        <f t="shared" si="45"/>
        <v>#VALUE!</v>
      </c>
      <c r="CR186" s="9" t="e">
        <f t="shared" si="45"/>
        <v>#VALUE!</v>
      </c>
      <c r="CS186" s="9" t="e">
        <f t="shared" si="45"/>
        <v>#VALUE!</v>
      </c>
      <c r="CT186" s="9" t="e">
        <f t="shared" si="45"/>
        <v>#VALUE!</v>
      </c>
      <c r="CU186" s="9" t="e">
        <f t="shared" si="45"/>
        <v>#VALUE!</v>
      </c>
      <c r="CV186" s="9" t="e">
        <f t="shared" si="45"/>
        <v>#VALUE!</v>
      </c>
      <c r="CW186" s="9" t="e">
        <f t="shared" si="45"/>
        <v>#VALUE!</v>
      </c>
      <c r="CX186" s="9" t="e">
        <f t="shared" si="45"/>
        <v>#VALUE!</v>
      </c>
      <c r="CY186" s="9" t="e">
        <f t="shared" si="45"/>
        <v>#VALUE!</v>
      </c>
      <c r="CZ186" s="9" t="e">
        <f t="shared" si="45"/>
        <v>#VALUE!</v>
      </c>
      <c r="DA186" s="9" t="e">
        <f t="shared" si="45"/>
        <v>#VALUE!</v>
      </c>
      <c r="DB186" s="9" t="e">
        <f t="shared" si="45"/>
        <v>#VALUE!</v>
      </c>
    </row>
    <row r="187" spans="10:106">
      <c r="L187" t="s">
        <v>31</v>
      </c>
      <c r="M187">
        <f>216/24389</f>
        <v>8.8564516790356311E-3</v>
      </c>
    </row>
    <row r="188" spans="10:106">
      <c r="L188" t="s">
        <v>32</v>
      </c>
      <c r="M188">
        <f>24389/27</f>
        <v>903.2962962962963</v>
      </c>
      <c r="O188" t="s">
        <v>28</v>
      </c>
      <c r="P188">
        <f t="shared" ref="P188:AJ188" ca="1" si="46">P175/$M$183</f>
        <v>0.6629478629839971</v>
      </c>
      <c r="Q188">
        <f t="shared" ca="1" si="46"/>
        <v>0.80709821403293169</v>
      </c>
      <c r="R188">
        <f t="shared" ca="1" si="46"/>
        <v>0.65906474477729993</v>
      </c>
      <c r="S188">
        <f t="shared" ca="1" si="46"/>
        <v>0.58535598839136305</v>
      </c>
      <c r="T188">
        <f t="shared" ca="1" si="46"/>
        <v>0.67340761493337298</v>
      </c>
      <c r="U188">
        <f t="shared" ca="1" si="46"/>
        <v>0.65532722958432266</v>
      </c>
      <c r="V188">
        <f t="shared" ca="1" si="46"/>
        <v>0.84760376866638276</v>
      </c>
      <c r="W188">
        <f t="shared" ca="1" si="46"/>
        <v>0.83969301074666114</v>
      </c>
      <c r="X188" t="e">
        <f t="shared" si="46"/>
        <v>#VALUE!</v>
      </c>
      <c r="Y188" t="e">
        <f t="shared" si="46"/>
        <v>#VALUE!</v>
      </c>
      <c r="Z188" t="e">
        <f t="shared" si="46"/>
        <v>#VALUE!</v>
      </c>
      <c r="AA188" t="e">
        <f t="shared" si="46"/>
        <v>#VALUE!</v>
      </c>
      <c r="AB188" t="e">
        <f t="shared" si="46"/>
        <v>#VALUE!</v>
      </c>
      <c r="AC188" t="e">
        <f t="shared" si="46"/>
        <v>#VALUE!</v>
      </c>
      <c r="AD188" t="e">
        <f t="shared" si="46"/>
        <v>#VALUE!</v>
      </c>
      <c r="AE188" t="e">
        <f t="shared" si="46"/>
        <v>#VALUE!</v>
      </c>
      <c r="AF188" t="e">
        <f t="shared" si="46"/>
        <v>#VALUE!</v>
      </c>
      <c r="AG188" t="e">
        <f t="shared" si="46"/>
        <v>#VALUE!</v>
      </c>
      <c r="AH188" t="e">
        <f t="shared" si="46"/>
        <v>#VALUE!</v>
      </c>
      <c r="AI188" t="e">
        <f t="shared" si="46"/>
        <v>#VALUE!</v>
      </c>
      <c r="AJ188" t="e">
        <f t="shared" si="46"/>
        <v>#VALUE!</v>
      </c>
      <c r="AK188" t="e">
        <f t="shared" ref="AK188:CC188" si="47">AK175/$M$183</f>
        <v>#VALUE!</v>
      </c>
      <c r="AL188" t="e">
        <f t="shared" si="47"/>
        <v>#VALUE!</v>
      </c>
      <c r="AM188" t="e">
        <f t="shared" si="47"/>
        <v>#VALUE!</v>
      </c>
      <c r="AN188" t="e">
        <f t="shared" si="47"/>
        <v>#VALUE!</v>
      </c>
      <c r="AO188" t="e">
        <f t="shared" si="47"/>
        <v>#VALUE!</v>
      </c>
      <c r="AP188" t="e">
        <f t="shared" si="47"/>
        <v>#VALUE!</v>
      </c>
      <c r="AQ188" t="e">
        <f t="shared" si="47"/>
        <v>#VALUE!</v>
      </c>
      <c r="AR188" t="e">
        <f t="shared" si="47"/>
        <v>#VALUE!</v>
      </c>
      <c r="AS188" t="e">
        <f t="shared" si="47"/>
        <v>#VALUE!</v>
      </c>
      <c r="AT188" t="e">
        <f t="shared" si="47"/>
        <v>#VALUE!</v>
      </c>
      <c r="AU188" t="e">
        <f t="shared" si="47"/>
        <v>#VALUE!</v>
      </c>
      <c r="AV188" t="e">
        <f t="shared" si="47"/>
        <v>#VALUE!</v>
      </c>
      <c r="AW188" t="e">
        <f t="shared" si="47"/>
        <v>#VALUE!</v>
      </c>
      <c r="AX188" t="e">
        <f t="shared" si="47"/>
        <v>#VALUE!</v>
      </c>
      <c r="AY188" t="e">
        <f t="shared" si="47"/>
        <v>#VALUE!</v>
      </c>
      <c r="AZ188" t="e">
        <f t="shared" si="47"/>
        <v>#VALUE!</v>
      </c>
      <c r="BA188" t="e">
        <f t="shared" si="47"/>
        <v>#VALUE!</v>
      </c>
      <c r="BB188" t="e">
        <f t="shared" si="47"/>
        <v>#VALUE!</v>
      </c>
      <c r="BC188" t="e">
        <f t="shared" si="47"/>
        <v>#VALUE!</v>
      </c>
      <c r="BD188" t="e">
        <f t="shared" si="47"/>
        <v>#VALUE!</v>
      </c>
      <c r="BE188" t="e">
        <f t="shared" si="47"/>
        <v>#VALUE!</v>
      </c>
      <c r="BF188" t="e">
        <f t="shared" si="47"/>
        <v>#VALUE!</v>
      </c>
      <c r="BG188" t="e">
        <f t="shared" si="47"/>
        <v>#VALUE!</v>
      </c>
      <c r="BH188" t="e">
        <f t="shared" si="47"/>
        <v>#VALUE!</v>
      </c>
      <c r="BI188" t="e">
        <f t="shared" si="47"/>
        <v>#VALUE!</v>
      </c>
      <c r="BJ188" t="e">
        <f t="shared" si="47"/>
        <v>#VALUE!</v>
      </c>
      <c r="BK188" t="e">
        <f t="shared" si="47"/>
        <v>#VALUE!</v>
      </c>
      <c r="BL188" t="e">
        <f t="shared" si="47"/>
        <v>#VALUE!</v>
      </c>
      <c r="BM188" t="e">
        <f t="shared" si="47"/>
        <v>#VALUE!</v>
      </c>
      <c r="BN188" t="e">
        <f t="shared" si="47"/>
        <v>#VALUE!</v>
      </c>
      <c r="BO188" t="e">
        <f t="shared" si="47"/>
        <v>#VALUE!</v>
      </c>
      <c r="BP188" t="e">
        <f t="shared" si="47"/>
        <v>#VALUE!</v>
      </c>
      <c r="BQ188" t="e">
        <f t="shared" si="47"/>
        <v>#VALUE!</v>
      </c>
      <c r="BR188" t="e">
        <f t="shared" si="47"/>
        <v>#VALUE!</v>
      </c>
      <c r="BS188" t="e">
        <f t="shared" si="47"/>
        <v>#VALUE!</v>
      </c>
      <c r="BT188" t="e">
        <f t="shared" si="47"/>
        <v>#VALUE!</v>
      </c>
      <c r="BU188" t="e">
        <f t="shared" si="47"/>
        <v>#VALUE!</v>
      </c>
      <c r="BV188" t="e">
        <f t="shared" si="47"/>
        <v>#VALUE!</v>
      </c>
      <c r="BW188" t="e">
        <f t="shared" si="47"/>
        <v>#VALUE!</v>
      </c>
      <c r="BX188" t="e">
        <f t="shared" si="47"/>
        <v>#VALUE!</v>
      </c>
      <c r="BY188" t="e">
        <f t="shared" si="47"/>
        <v>#VALUE!</v>
      </c>
      <c r="BZ188" t="e">
        <f t="shared" si="47"/>
        <v>#VALUE!</v>
      </c>
      <c r="CA188" t="e">
        <f t="shared" si="47"/>
        <v>#VALUE!</v>
      </c>
      <c r="CB188" t="e">
        <f t="shared" si="47"/>
        <v>#VALUE!</v>
      </c>
      <c r="CC188" t="e">
        <f t="shared" si="47"/>
        <v>#VALUE!</v>
      </c>
      <c r="CD188" t="e">
        <f t="shared" ref="CD188:DB188" si="48">CD175/$M$183</f>
        <v>#VALUE!</v>
      </c>
      <c r="CE188" t="e">
        <f t="shared" si="48"/>
        <v>#VALUE!</v>
      </c>
      <c r="CF188" t="e">
        <f t="shared" si="48"/>
        <v>#VALUE!</v>
      </c>
      <c r="CG188" t="e">
        <f t="shared" si="48"/>
        <v>#VALUE!</v>
      </c>
      <c r="CH188" t="e">
        <f t="shared" si="48"/>
        <v>#VALUE!</v>
      </c>
      <c r="CI188" t="e">
        <f t="shared" si="48"/>
        <v>#VALUE!</v>
      </c>
      <c r="CJ188" t="e">
        <f t="shared" si="48"/>
        <v>#VALUE!</v>
      </c>
      <c r="CK188" t="e">
        <f t="shared" si="48"/>
        <v>#VALUE!</v>
      </c>
      <c r="CL188" t="e">
        <f t="shared" si="48"/>
        <v>#VALUE!</v>
      </c>
      <c r="CM188" t="e">
        <f t="shared" si="48"/>
        <v>#VALUE!</v>
      </c>
      <c r="CN188" t="e">
        <f t="shared" si="48"/>
        <v>#VALUE!</v>
      </c>
      <c r="CO188" t="e">
        <f t="shared" si="48"/>
        <v>#VALUE!</v>
      </c>
      <c r="CP188" t="e">
        <f t="shared" si="48"/>
        <v>#VALUE!</v>
      </c>
      <c r="CQ188" t="e">
        <f t="shared" si="48"/>
        <v>#VALUE!</v>
      </c>
      <c r="CR188" t="e">
        <f t="shared" si="48"/>
        <v>#VALUE!</v>
      </c>
      <c r="CS188" t="e">
        <f t="shared" si="48"/>
        <v>#VALUE!</v>
      </c>
      <c r="CT188" t="e">
        <f t="shared" si="48"/>
        <v>#VALUE!</v>
      </c>
      <c r="CU188" t="e">
        <f t="shared" si="48"/>
        <v>#VALUE!</v>
      </c>
      <c r="CV188" t="e">
        <f t="shared" si="48"/>
        <v>#VALUE!</v>
      </c>
      <c r="CW188" t="e">
        <f t="shared" si="48"/>
        <v>#VALUE!</v>
      </c>
      <c r="CX188" t="e">
        <f t="shared" si="48"/>
        <v>#VALUE!</v>
      </c>
      <c r="CY188" t="e">
        <f t="shared" si="48"/>
        <v>#VALUE!</v>
      </c>
      <c r="CZ188" t="e">
        <f t="shared" si="48"/>
        <v>#VALUE!</v>
      </c>
      <c r="DA188" t="e">
        <f t="shared" si="48"/>
        <v>#VALUE!</v>
      </c>
      <c r="DB188" t="e">
        <f t="shared" si="48"/>
        <v>#VALUE!</v>
      </c>
    </row>
    <row r="189" spans="10:106">
      <c r="O189" t="s">
        <v>29</v>
      </c>
      <c r="P189">
        <f t="shared" ref="P189:AJ189" ca="1" si="49">P176/$M$184</f>
        <v>0.69384458019557238</v>
      </c>
      <c r="Q189">
        <f t="shared" ca="1" si="49"/>
        <v>0.81885632067890479</v>
      </c>
      <c r="R189">
        <f t="shared" ca="1" si="49"/>
        <v>0.6750649204084388</v>
      </c>
      <c r="S189">
        <f t="shared" ca="1" si="49"/>
        <v>0.63561816629572965</v>
      </c>
      <c r="T189">
        <f t="shared" ca="1" si="49"/>
        <v>0.70503650237327375</v>
      </c>
      <c r="U189">
        <f t="shared" ca="1" si="49"/>
        <v>0.66127752046829413</v>
      </c>
      <c r="V189">
        <f t="shared" ca="1" si="49"/>
        <v>0.84473092707434039</v>
      </c>
      <c r="W189">
        <f t="shared" ca="1" si="49"/>
        <v>0.83635917409462968</v>
      </c>
      <c r="X189" t="e">
        <f t="shared" si="49"/>
        <v>#VALUE!</v>
      </c>
      <c r="Y189" t="e">
        <f t="shared" si="49"/>
        <v>#VALUE!</v>
      </c>
      <c r="Z189" t="e">
        <f t="shared" si="49"/>
        <v>#VALUE!</v>
      </c>
      <c r="AA189" t="e">
        <f t="shared" si="49"/>
        <v>#VALUE!</v>
      </c>
      <c r="AB189" t="e">
        <f t="shared" si="49"/>
        <v>#VALUE!</v>
      </c>
      <c r="AC189" t="e">
        <f t="shared" si="49"/>
        <v>#VALUE!</v>
      </c>
      <c r="AD189" t="e">
        <f t="shared" si="49"/>
        <v>#VALUE!</v>
      </c>
      <c r="AE189" t="e">
        <f t="shared" si="49"/>
        <v>#VALUE!</v>
      </c>
      <c r="AF189" t="e">
        <f t="shared" si="49"/>
        <v>#VALUE!</v>
      </c>
      <c r="AG189" t="e">
        <f t="shared" si="49"/>
        <v>#VALUE!</v>
      </c>
      <c r="AH189" t="e">
        <f t="shared" si="49"/>
        <v>#VALUE!</v>
      </c>
      <c r="AI189" t="e">
        <f t="shared" si="49"/>
        <v>#VALUE!</v>
      </c>
      <c r="AJ189" t="e">
        <f t="shared" si="49"/>
        <v>#VALUE!</v>
      </c>
      <c r="AK189" t="e">
        <f t="shared" ref="AK189:CC189" si="50">AK176/$M$184</f>
        <v>#VALUE!</v>
      </c>
      <c r="AL189" t="e">
        <f t="shared" si="50"/>
        <v>#VALUE!</v>
      </c>
      <c r="AM189" t="e">
        <f t="shared" si="50"/>
        <v>#VALUE!</v>
      </c>
      <c r="AN189" t="e">
        <f t="shared" si="50"/>
        <v>#VALUE!</v>
      </c>
      <c r="AO189" t="e">
        <f t="shared" si="50"/>
        <v>#VALUE!</v>
      </c>
      <c r="AP189" t="e">
        <f t="shared" si="50"/>
        <v>#VALUE!</v>
      </c>
      <c r="AQ189" t="e">
        <f t="shared" si="50"/>
        <v>#VALUE!</v>
      </c>
      <c r="AR189" t="e">
        <f t="shared" si="50"/>
        <v>#VALUE!</v>
      </c>
      <c r="AS189" t="e">
        <f t="shared" si="50"/>
        <v>#VALUE!</v>
      </c>
      <c r="AT189" t="e">
        <f t="shared" si="50"/>
        <v>#VALUE!</v>
      </c>
      <c r="AU189" t="e">
        <f t="shared" si="50"/>
        <v>#VALUE!</v>
      </c>
      <c r="AV189" t="e">
        <f t="shared" si="50"/>
        <v>#VALUE!</v>
      </c>
      <c r="AW189" t="e">
        <f t="shared" si="50"/>
        <v>#VALUE!</v>
      </c>
      <c r="AX189" t="e">
        <f t="shared" si="50"/>
        <v>#VALUE!</v>
      </c>
      <c r="AY189" t="e">
        <f t="shared" si="50"/>
        <v>#VALUE!</v>
      </c>
      <c r="AZ189" t="e">
        <f t="shared" si="50"/>
        <v>#VALUE!</v>
      </c>
      <c r="BA189" t="e">
        <f t="shared" si="50"/>
        <v>#VALUE!</v>
      </c>
      <c r="BB189" t="e">
        <f t="shared" si="50"/>
        <v>#VALUE!</v>
      </c>
      <c r="BC189" t="e">
        <f t="shared" si="50"/>
        <v>#VALUE!</v>
      </c>
      <c r="BD189" t="e">
        <f t="shared" si="50"/>
        <v>#VALUE!</v>
      </c>
      <c r="BE189" t="e">
        <f t="shared" si="50"/>
        <v>#VALUE!</v>
      </c>
      <c r="BF189" t="e">
        <f t="shared" si="50"/>
        <v>#VALUE!</v>
      </c>
      <c r="BG189" t="e">
        <f t="shared" si="50"/>
        <v>#VALUE!</v>
      </c>
      <c r="BH189" t="e">
        <f t="shared" si="50"/>
        <v>#VALUE!</v>
      </c>
      <c r="BI189" t="e">
        <f t="shared" si="50"/>
        <v>#VALUE!</v>
      </c>
      <c r="BJ189" t="e">
        <f t="shared" si="50"/>
        <v>#VALUE!</v>
      </c>
      <c r="BK189" t="e">
        <f t="shared" si="50"/>
        <v>#VALUE!</v>
      </c>
      <c r="BL189" t="e">
        <f t="shared" si="50"/>
        <v>#VALUE!</v>
      </c>
      <c r="BM189" t="e">
        <f t="shared" si="50"/>
        <v>#VALUE!</v>
      </c>
      <c r="BN189" t="e">
        <f t="shared" si="50"/>
        <v>#VALUE!</v>
      </c>
      <c r="BO189" t="e">
        <f t="shared" si="50"/>
        <v>#VALUE!</v>
      </c>
      <c r="BP189" t="e">
        <f t="shared" si="50"/>
        <v>#VALUE!</v>
      </c>
      <c r="BQ189" t="e">
        <f t="shared" si="50"/>
        <v>#VALUE!</v>
      </c>
      <c r="BR189" t="e">
        <f t="shared" si="50"/>
        <v>#VALUE!</v>
      </c>
      <c r="BS189" t="e">
        <f t="shared" si="50"/>
        <v>#VALUE!</v>
      </c>
      <c r="BT189" t="e">
        <f t="shared" si="50"/>
        <v>#VALUE!</v>
      </c>
      <c r="BU189" t="e">
        <f t="shared" si="50"/>
        <v>#VALUE!</v>
      </c>
      <c r="BV189" t="e">
        <f t="shared" si="50"/>
        <v>#VALUE!</v>
      </c>
      <c r="BW189" t="e">
        <f t="shared" si="50"/>
        <v>#VALUE!</v>
      </c>
      <c r="BX189" t="e">
        <f t="shared" si="50"/>
        <v>#VALUE!</v>
      </c>
      <c r="BY189" t="e">
        <f t="shared" si="50"/>
        <v>#VALUE!</v>
      </c>
      <c r="BZ189" t="e">
        <f t="shared" si="50"/>
        <v>#VALUE!</v>
      </c>
      <c r="CA189" t="e">
        <f t="shared" si="50"/>
        <v>#VALUE!</v>
      </c>
      <c r="CB189" t="e">
        <f t="shared" si="50"/>
        <v>#VALUE!</v>
      </c>
      <c r="CC189" t="e">
        <f t="shared" si="50"/>
        <v>#VALUE!</v>
      </c>
      <c r="CD189" t="e">
        <f t="shared" ref="CD189:DB189" si="51">CD176/$M$184</f>
        <v>#VALUE!</v>
      </c>
      <c r="CE189" t="e">
        <f t="shared" si="51"/>
        <v>#VALUE!</v>
      </c>
      <c r="CF189" t="e">
        <f t="shared" si="51"/>
        <v>#VALUE!</v>
      </c>
      <c r="CG189" t="e">
        <f t="shared" si="51"/>
        <v>#VALUE!</v>
      </c>
      <c r="CH189" t="e">
        <f t="shared" si="51"/>
        <v>#VALUE!</v>
      </c>
      <c r="CI189" t="e">
        <f t="shared" si="51"/>
        <v>#VALUE!</v>
      </c>
      <c r="CJ189" t="e">
        <f t="shared" si="51"/>
        <v>#VALUE!</v>
      </c>
      <c r="CK189" t="e">
        <f t="shared" si="51"/>
        <v>#VALUE!</v>
      </c>
      <c r="CL189" t="e">
        <f t="shared" si="51"/>
        <v>#VALUE!</v>
      </c>
      <c r="CM189" t="e">
        <f t="shared" si="51"/>
        <v>#VALUE!</v>
      </c>
      <c r="CN189" t="e">
        <f t="shared" si="51"/>
        <v>#VALUE!</v>
      </c>
      <c r="CO189" t="e">
        <f t="shared" si="51"/>
        <v>#VALUE!</v>
      </c>
      <c r="CP189" t="e">
        <f t="shared" si="51"/>
        <v>#VALUE!</v>
      </c>
      <c r="CQ189" t="e">
        <f t="shared" si="51"/>
        <v>#VALUE!</v>
      </c>
      <c r="CR189" t="e">
        <f t="shared" si="51"/>
        <v>#VALUE!</v>
      </c>
      <c r="CS189" t="e">
        <f t="shared" si="51"/>
        <v>#VALUE!</v>
      </c>
      <c r="CT189" t="e">
        <f t="shared" si="51"/>
        <v>#VALUE!</v>
      </c>
      <c r="CU189" t="e">
        <f t="shared" si="51"/>
        <v>#VALUE!</v>
      </c>
      <c r="CV189" t="e">
        <f t="shared" si="51"/>
        <v>#VALUE!</v>
      </c>
      <c r="CW189" t="e">
        <f t="shared" si="51"/>
        <v>#VALUE!</v>
      </c>
      <c r="CX189" t="e">
        <f t="shared" si="51"/>
        <v>#VALUE!</v>
      </c>
      <c r="CY189" t="e">
        <f t="shared" si="51"/>
        <v>#VALUE!</v>
      </c>
      <c r="CZ189" t="e">
        <f t="shared" si="51"/>
        <v>#VALUE!</v>
      </c>
      <c r="DA189" t="e">
        <f t="shared" si="51"/>
        <v>#VALUE!</v>
      </c>
      <c r="DB189" t="e">
        <f t="shared" si="51"/>
        <v>#VALUE!</v>
      </c>
    </row>
    <row r="190" spans="10:106">
      <c r="O190" t="s">
        <v>30</v>
      </c>
      <c r="P190">
        <f t="shared" ref="P190:AJ190" ca="1" si="52">P177/$M$185</f>
        <v>0.8832173985373154</v>
      </c>
      <c r="Q190">
        <f t="shared" ca="1" si="52"/>
        <v>0.8120504949560301</v>
      </c>
      <c r="R190">
        <f t="shared" ca="1" si="52"/>
        <v>0.69661132310682572</v>
      </c>
      <c r="S190">
        <f t="shared" ca="1" si="52"/>
        <v>0.74244015184808021</v>
      </c>
      <c r="T190">
        <f t="shared" ca="1" si="52"/>
        <v>0.66857123672036667</v>
      </c>
      <c r="U190">
        <f t="shared" ca="1" si="52"/>
        <v>0.52812732079103031</v>
      </c>
      <c r="V190">
        <f t="shared" ca="1" si="52"/>
        <v>0.75962437483450895</v>
      </c>
      <c r="W190">
        <f t="shared" ca="1" si="52"/>
        <v>0.7578999702065139</v>
      </c>
      <c r="X190" t="e">
        <f t="shared" si="52"/>
        <v>#VALUE!</v>
      </c>
      <c r="Y190" t="e">
        <f t="shared" si="52"/>
        <v>#VALUE!</v>
      </c>
      <c r="Z190" t="e">
        <f t="shared" si="52"/>
        <v>#VALUE!</v>
      </c>
      <c r="AA190" t="e">
        <f t="shared" si="52"/>
        <v>#VALUE!</v>
      </c>
      <c r="AB190" t="e">
        <f t="shared" si="52"/>
        <v>#VALUE!</v>
      </c>
      <c r="AC190" t="e">
        <f t="shared" si="52"/>
        <v>#VALUE!</v>
      </c>
      <c r="AD190" t="e">
        <f t="shared" si="52"/>
        <v>#VALUE!</v>
      </c>
      <c r="AE190" t="e">
        <f t="shared" si="52"/>
        <v>#VALUE!</v>
      </c>
      <c r="AF190" t="e">
        <f t="shared" si="52"/>
        <v>#VALUE!</v>
      </c>
      <c r="AG190" t="e">
        <f t="shared" si="52"/>
        <v>#VALUE!</v>
      </c>
      <c r="AH190" t="e">
        <f t="shared" si="52"/>
        <v>#VALUE!</v>
      </c>
      <c r="AI190" t="e">
        <f t="shared" si="52"/>
        <v>#VALUE!</v>
      </c>
      <c r="AJ190" t="e">
        <f t="shared" si="52"/>
        <v>#VALUE!</v>
      </c>
      <c r="AK190" t="e">
        <f t="shared" ref="AK190:CC190" si="53">AK177/$M$185</f>
        <v>#VALUE!</v>
      </c>
      <c r="AL190" t="e">
        <f t="shared" si="53"/>
        <v>#VALUE!</v>
      </c>
      <c r="AM190" t="e">
        <f t="shared" si="53"/>
        <v>#VALUE!</v>
      </c>
      <c r="AN190" t="e">
        <f t="shared" si="53"/>
        <v>#VALUE!</v>
      </c>
      <c r="AO190" t="e">
        <f t="shared" si="53"/>
        <v>#VALUE!</v>
      </c>
      <c r="AP190" t="e">
        <f t="shared" si="53"/>
        <v>#VALUE!</v>
      </c>
      <c r="AQ190" t="e">
        <f t="shared" si="53"/>
        <v>#VALUE!</v>
      </c>
      <c r="AR190" t="e">
        <f t="shared" si="53"/>
        <v>#VALUE!</v>
      </c>
      <c r="AS190" t="e">
        <f t="shared" si="53"/>
        <v>#VALUE!</v>
      </c>
      <c r="AT190" t="e">
        <f t="shared" si="53"/>
        <v>#VALUE!</v>
      </c>
      <c r="AU190" t="e">
        <f t="shared" si="53"/>
        <v>#VALUE!</v>
      </c>
      <c r="AV190" t="e">
        <f t="shared" si="53"/>
        <v>#VALUE!</v>
      </c>
      <c r="AW190" t="e">
        <f t="shared" si="53"/>
        <v>#VALUE!</v>
      </c>
      <c r="AX190" t="e">
        <f t="shared" si="53"/>
        <v>#VALUE!</v>
      </c>
      <c r="AY190" t="e">
        <f t="shared" si="53"/>
        <v>#VALUE!</v>
      </c>
      <c r="AZ190" t="e">
        <f t="shared" si="53"/>
        <v>#VALUE!</v>
      </c>
      <c r="BA190" t="e">
        <f t="shared" si="53"/>
        <v>#VALUE!</v>
      </c>
      <c r="BB190" t="e">
        <f t="shared" si="53"/>
        <v>#VALUE!</v>
      </c>
      <c r="BC190" t="e">
        <f t="shared" si="53"/>
        <v>#VALUE!</v>
      </c>
      <c r="BD190" t="e">
        <f t="shared" si="53"/>
        <v>#VALUE!</v>
      </c>
      <c r="BE190" t="e">
        <f t="shared" si="53"/>
        <v>#VALUE!</v>
      </c>
      <c r="BF190" t="e">
        <f t="shared" si="53"/>
        <v>#VALUE!</v>
      </c>
      <c r="BG190" t="e">
        <f t="shared" si="53"/>
        <v>#VALUE!</v>
      </c>
      <c r="BH190" t="e">
        <f t="shared" si="53"/>
        <v>#VALUE!</v>
      </c>
      <c r="BI190" t="e">
        <f t="shared" si="53"/>
        <v>#VALUE!</v>
      </c>
      <c r="BJ190" t="e">
        <f t="shared" si="53"/>
        <v>#VALUE!</v>
      </c>
      <c r="BK190" t="e">
        <f t="shared" si="53"/>
        <v>#VALUE!</v>
      </c>
      <c r="BL190" t="e">
        <f t="shared" si="53"/>
        <v>#VALUE!</v>
      </c>
      <c r="BM190" t="e">
        <f t="shared" si="53"/>
        <v>#VALUE!</v>
      </c>
      <c r="BN190" t="e">
        <f t="shared" si="53"/>
        <v>#VALUE!</v>
      </c>
      <c r="BO190" t="e">
        <f t="shared" si="53"/>
        <v>#VALUE!</v>
      </c>
      <c r="BP190" t="e">
        <f t="shared" si="53"/>
        <v>#VALUE!</v>
      </c>
      <c r="BQ190" t="e">
        <f t="shared" si="53"/>
        <v>#VALUE!</v>
      </c>
      <c r="BR190" t="e">
        <f t="shared" si="53"/>
        <v>#VALUE!</v>
      </c>
      <c r="BS190" t="e">
        <f t="shared" si="53"/>
        <v>#VALUE!</v>
      </c>
      <c r="BT190" t="e">
        <f t="shared" si="53"/>
        <v>#VALUE!</v>
      </c>
      <c r="BU190" t="e">
        <f t="shared" si="53"/>
        <v>#VALUE!</v>
      </c>
      <c r="BV190" t="e">
        <f t="shared" si="53"/>
        <v>#VALUE!</v>
      </c>
      <c r="BW190" t="e">
        <f t="shared" si="53"/>
        <v>#VALUE!</v>
      </c>
      <c r="BX190" t="e">
        <f t="shared" si="53"/>
        <v>#VALUE!</v>
      </c>
      <c r="BY190" t="e">
        <f t="shared" si="53"/>
        <v>#VALUE!</v>
      </c>
      <c r="BZ190" t="e">
        <f t="shared" si="53"/>
        <v>#VALUE!</v>
      </c>
      <c r="CA190" t="e">
        <f t="shared" si="53"/>
        <v>#VALUE!</v>
      </c>
      <c r="CB190" t="e">
        <f t="shared" si="53"/>
        <v>#VALUE!</v>
      </c>
      <c r="CC190" t="e">
        <f t="shared" si="53"/>
        <v>#VALUE!</v>
      </c>
      <c r="CD190" t="e">
        <f t="shared" ref="CD190:DB190" si="54">CD177/$M$185</f>
        <v>#VALUE!</v>
      </c>
      <c r="CE190" t="e">
        <f t="shared" si="54"/>
        <v>#VALUE!</v>
      </c>
      <c r="CF190" t="e">
        <f t="shared" si="54"/>
        <v>#VALUE!</v>
      </c>
      <c r="CG190" t="e">
        <f t="shared" si="54"/>
        <v>#VALUE!</v>
      </c>
      <c r="CH190" t="e">
        <f t="shared" si="54"/>
        <v>#VALUE!</v>
      </c>
      <c r="CI190" t="e">
        <f t="shared" si="54"/>
        <v>#VALUE!</v>
      </c>
      <c r="CJ190" t="e">
        <f t="shared" si="54"/>
        <v>#VALUE!</v>
      </c>
      <c r="CK190" t="e">
        <f t="shared" si="54"/>
        <v>#VALUE!</v>
      </c>
      <c r="CL190" t="e">
        <f t="shared" si="54"/>
        <v>#VALUE!</v>
      </c>
      <c r="CM190" t="e">
        <f t="shared" si="54"/>
        <v>#VALUE!</v>
      </c>
      <c r="CN190" t="e">
        <f t="shared" si="54"/>
        <v>#VALUE!</v>
      </c>
      <c r="CO190" t="e">
        <f t="shared" si="54"/>
        <v>#VALUE!</v>
      </c>
      <c r="CP190" t="e">
        <f t="shared" si="54"/>
        <v>#VALUE!</v>
      </c>
      <c r="CQ190" t="e">
        <f t="shared" si="54"/>
        <v>#VALUE!</v>
      </c>
      <c r="CR190" t="e">
        <f t="shared" si="54"/>
        <v>#VALUE!</v>
      </c>
      <c r="CS190" t="e">
        <f t="shared" si="54"/>
        <v>#VALUE!</v>
      </c>
      <c r="CT190" t="e">
        <f t="shared" si="54"/>
        <v>#VALUE!</v>
      </c>
      <c r="CU190" t="e">
        <f t="shared" si="54"/>
        <v>#VALUE!</v>
      </c>
      <c r="CV190" t="e">
        <f t="shared" si="54"/>
        <v>#VALUE!</v>
      </c>
      <c r="CW190" t="e">
        <f t="shared" si="54"/>
        <v>#VALUE!</v>
      </c>
      <c r="CX190" t="e">
        <f t="shared" si="54"/>
        <v>#VALUE!</v>
      </c>
      <c r="CY190" t="e">
        <f t="shared" si="54"/>
        <v>#VALUE!</v>
      </c>
      <c r="CZ190" t="e">
        <f t="shared" si="54"/>
        <v>#VALUE!</v>
      </c>
      <c r="DA190" t="e">
        <f t="shared" si="54"/>
        <v>#VALUE!</v>
      </c>
      <c r="DB190" t="e">
        <f t="shared" si="54"/>
        <v>#VALUE!</v>
      </c>
    </row>
    <row r="192" spans="10:106">
      <c r="O192" t="s">
        <v>33</v>
      </c>
      <c r="P192">
        <f ca="1">IF(P188&gt;$M$187,P188^(1/3),($M$188*P188+16)/116)</f>
        <v>0.87195309792131803</v>
      </c>
      <c r="Q192">
        <f t="shared" ref="Q192:R192" ca="1" si="55">IF(Q188&gt;$M$187,Q188^(1/3),($M$188*Q188+16)/116)</f>
        <v>0.93105526879234102</v>
      </c>
      <c r="R192">
        <f t="shared" ca="1" si="55"/>
        <v>0.87024731805977507</v>
      </c>
      <c r="S192">
        <f t="shared" ref="S192:AJ192" ca="1" si="56">IF(S188&gt;$M$187,S188^(1/3),($M$188*S188+16)/116)</f>
        <v>0.83651427248549493</v>
      </c>
      <c r="T192">
        <f t="shared" ca="1" si="56"/>
        <v>0.87651497651263344</v>
      </c>
      <c r="U192">
        <f t="shared" ca="1" si="56"/>
        <v>0.86859915910784546</v>
      </c>
      <c r="V192">
        <f t="shared" ca="1" si="56"/>
        <v>0.94637725280340912</v>
      </c>
      <c r="W192">
        <f t="shared" ca="1" si="56"/>
        <v>0.94342383909349692</v>
      </c>
      <c r="X192" t="e">
        <f t="shared" si="56"/>
        <v>#VALUE!</v>
      </c>
      <c r="Y192" t="e">
        <f t="shared" si="56"/>
        <v>#VALUE!</v>
      </c>
      <c r="Z192" t="e">
        <f t="shared" si="56"/>
        <v>#VALUE!</v>
      </c>
      <c r="AA192" t="e">
        <f t="shared" si="56"/>
        <v>#VALUE!</v>
      </c>
      <c r="AB192" t="e">
        <f t="shared" si="56"/>
        <v>#VALUE!</v>
      </c>
      <c r="AC192" t="e">
        <f t="shared" si="56"/>
        <v>#VALUE!</v>
      </c>
      <c r="AD192" t="e">
        <f t="shared" si="56"/>
        <v>#VALUE!</v>
      </c>
      <c r="AE192" t="e">
        <f t="shared" si="56"/>
        <v>#VALUE!</v>
      </c>
      <c r="AF192" t="e">
        <f t="shared" si="56"/>
        <v>#VALUE!</v>
      </c>
      <c r="AG192" t="e">
        <f t="shared" si="56"/>
        <v>#VALUE!</v>
      </c>
      <c r="AH192" t="e">
        <f t="shared" si="56"/>
        <v>#VALUE!</v>
      </c>
      <c r="AI192" t="e">
        <f t="shared" si="56"/>
        <v>#VALUE!</v>
      </c>
      <c r="AJ192" t="e">
        <f t="shared" si="56"/>
        <v>#VALUE!</v>
      </c>
      <c r="AK192" t="e">
        <f t="shared" ref="AK192:CC192" si="57">IF(AK188&gt;$M$187,AK188^(1/3),($M$188*AK188+16)/116)</f>
        <v>#VALUE!</v>
      </c>
      <c r="AL192" t="e">
        <f t="shared" si="57"/>
        <v>#VALUE!</v>
      </c>
      <c r="AM192" t="e">
        <f t="shared" si="57"/>
        <v>#VALUE!</v>
      </c>
      <c r="AN192" t="e">
        <f t="shared" si="57"/>
        <v>#VALUE!</v>
      </c>
      <c r="AO192" t="e">
        <f t="shared" si="57"/>
        <v>#VALUE!</v>
      </c>
      <c r="AP192" t="e">
        <f t="shared" si="57"/>
        <v>#VALUE!</v>
      </c>
      <c r="AQ192" t="e">
        <f t="shared" si="57"/>
        <v>#VALUE!</v>
      </c>
      <c r="AR192" t="e">
        <f t="shared" si="57"/>
        <v>#VALUE!</v>
      </c>
      <c r="AS192" t="e">
        <f t="shared" si="57"/>
        <v>#VALUE!</v>
      </c>
      <c r="AT192" t="e">
        <f t="shared" si="57"/>
        <v>#VALUE!</v>
      </c>
      <c r="AU192" t="e">
        <f t="shared" si="57"/>
        <v>#VALUE!</v>
      </c>
      <c r="AV192" t="e">
        <f t="shared" si="57"/>
        <v>#VALUE!</v>
      </c>
      <c r="AW192" t="e">
        <f t="shared" si="57"/>
        <v>#VALUE!</v>
      </c>
      <c r="AX192" t="e">
        <f t="shared" si="57"/>
        <v>#VALUE!</v>
      </c>
      <c r="AY192" t="e">
        <f t="shared" si="57"/>
        <v>#VALUE!</v>
      </c>
      <c r="AZ192" t="e">
        <f t="shared" si="57"/>
        <v>#VALUE!</v>
      </c>
      <c r="BA192" t="e">
        <f t="shared" si="57"/>
        <v>#VALUE!</v>
      </c>
      <c r="BB192" t="e">
        <f t="shared" si="57"/>
        <v>#VALUE!</v>
      </c>
      <c r="BC192" t="e">
        <f t="shared" si="57"/>
        <v>#VALUE!</v>
      </c>
      <c r="BD192" t="e">
        <f t="shared" si="57"/>
        <v>#VALUE!</v>
      </c>
      <c r="BE192" t="e">
        <f t="shared" si="57"/>
        <v>#VALUE!</v>
      </c>
      <c r="BF192" t="e">
        <f t="shared" si="57"/>
        <v>#VALUE!</v>
      </c>
      <c r="BG192" t="e">
        <f t="shared" si="57"/>
        <v>#VALUE!</v>
      </c>
      <c r="BH192" t="e">
        <f t="shared" si="57"/>
        <v>#VALUE!</v>
      </c>
      <c r="BI192" t="e">
        <f t="shared" si="57"/>
        <v>#VALUE!</v>
      </c>
      <c r="BJ192" t="e">
        <f t="shared" si="57"/>
        <v>#VALUE!</v>
      </c>
      <c r="BK192" t="e">
        <f t="shared" si="57"/>
        <v>#VALUE!</v>
      </c>
      <c r="BL192" t="e">
        <f t="shared" si="57"/>
        <v>#VALUE!</v>
      </c>
      <c r="BM192" t="e">
        <f t="shared" si="57"/>
        <v>#VALUE!</v>
      </c>
      <c r="BN192" t="e">
        <f t="shared" si="57"/>
        <v>#VALUE!</v>
      </c>
      <c r="BO192" t="e">
        <f t="shared" si="57"/>
        <v>#VALUE!</v>
      </c>
      <c r="BP192" t="e">
        <f t="shared" si="57"/>
        <v>#VALUE!</v>
      </c>
      <c r="BQ192" t="e">
        <f t="shared" si="57"/>
        <v>#VALUE!</v>
      </c>
      <c r="BR192" t="e">
        <f t="shared" si="57"/>
        <v>#VALUE!</v>
      </c>
      <c r="BS192" t="e">
        <f t="shared" si="57"/>
        <v>#VALUE!</v>
      </c>
      <c r="BT192" t="e">
        <f t="shared" si="57"/>
        <v>#VALUE!</v>
      </c>
      <c r="BU192" t="e">
        <f t="shared" si="57"/>
        <v>#VALUE!</v>
      </c>
      <c r="BV192" t="e">
        <f t="shared" si="57"/>
        <v>#VALUE!</v>
      </c>
      <c r="BW192" t="e">
        <f t="shared" si="57"/>
        <v>#VALUE!</v>
      </c>
      <c r="BX192" t="e">
        <f t="shared" si="57"/>
        <v>#VALUE!</v>
      </c>
      <c r="BY192" t="e">
        <f t="shared" si="57"/>
        <v>#VALUE!</v>
      </c>
      <c r="BZ192" t="e">
        <f t="shared" si="57"/>
        <v>#VALUE!</v>
      </c>
      <c r="CA192" t="e">
        <f t="shared" si="57"/>
        <v>#VALUE!</v>
      </c>
      <c r="CB192" t="e">
        <f t="shared" si="57"/>
        <v>#VALUE!</v>
      </c>
      <c r="CC192" t="e">
        <f t="shared" si="57"/>
        <v>#VALUE!</v>
      </c>
      <c r="CD192" t="e">
        <f t="shared" ref="CD192:DB192" si="58">IF(CD188&gt;$M$187,CD188^(1/3),($M$188*CD188+16)/116)</f>
        <v>#VALUE!</v>
      </c>
      <c r="CE192" t="e">
        <f t="shared" si="58"/>
        <v>#VALUE!</v>
      </c>
      <c r="CF192" t="e">
        <f t="shared" si="58"/>
        <v>#VALUE!</v>
      </c>
      <c r="CG192" t="e">
        <f t="shared" si="58"/>
        <v>#VALUE!</v>
      </c>
      <c r="CH192" t="e">
        <f t="shared" si="58"/>
        <v>#VALUE!</v>
      </c>
      <c r="CI192" t="e">
        <f t="shared" si="58"/>
        <v>#VALUE!</v>
      </c>
      <c r="CJ192" t="e">
        <f t="shared" si="58"/>
        <v>#VALUE!</v>
      </c>
      <c r="CK192" t="e">
        <f t="shared" si="58"/>
        <v>#VALUE!</v>
      </c>
      <c r="CL192" t="e">
        <f t="shared" si="58"/>
        <v>#VALUE!</v>
      </c>
      <c r="CM192" t="e">
        <f t="shared" si="58"/>
        <v>#VALUE!</v>
      </c>
      <c r="CN192" t="e">
        <f t="shared" si="58"/>
        <v>#VALUE!</v>
      </c>
      <c r="CO192" t="e">
        <f t="shared" si="58"/>
        <v>#VALUE!</v>
      </c>
      <c r="CP192" t="e">
        <f t="shared" si="58"/>
        <v>#VALUE!</v>
      </c>
      <c r="CQ192" t="e">
        <f t="shared" si="58"/>
        <v>#VALUE!</v>
      </c>
      <c r="CR192" t="e">
        <f t="shared" si="58"/>
        <v>#VALUE!</v>
      </c>
      <c r="CS192" t="e">
        <f t="shared" si="58"/>
        <v>#VALUE!</v>
      </c>
      <c r="CT192" t="e">
        <f t="shared" si="58"/>
        <v>#VALUE!</v>
      </c>
      <c r="CU192" t="e">
        <f t="shared" si="58"/>
        <v>#VALUE!</v>
      </c>
      <c r="CV192" t="e">
        <f t="shared" si="58"/>
        <v>#VALUE!</v>
      </c>
      <c r="CW192" t="e">
        <f t="shared" si="58"/>
        <v>#VALUE!</v>
      </c>
      <c r="CX192" t="e">
        <f t="shared" si="58"/>
        <v>#VALUE!</v>
      </c>
      <c r="CY192" t="e">
        <f t="shared" si="58"/>
        <v>#VALUE!</v>
      </c>
      <c r="CZ192" t="e">
        <f t="shared" si="58"/>
        <v>#VALUE!</v>
      </c>
      <c r="DA192" t="e">
        <f t="shared" si="58"/>
        <v>#VALUE!</v>
      </c>
      <c r="DB192" t="e">
        <f t="shared" si="58"/>
        <v>#VALUE!</v>
      </c>
    </row>
    <row r="193" spans="15:106">
      <c r="O193" t="s">
        <v>34</v>
      </c>
      <c r="P193">
        <f t="shared" ref="P193:Q194" ca="1" si="59">IF(P189&gt;$M$187,P189^(1/3),($M$188*P189+16)/116)</f>
        <v>0.88529375384543174</v>
      </c>
      <c r="Q193">
        <f t="shared" ca="1" si="59"/>
        <v>0.93555480839009297</v>
      </c>
      <c r="R193">
        <f t="shared" ref="R193:AJ193" ca="1" si="60">IF(R189&gt;$M$187,R189^(1/3),($M$188*R189+16)/116)</f>
        <v>0.87723344329206354</v>
      </c>
      <c r="S193">
        <f t="shared" ca="1" si="60"/>
        <v>0.8598026256513901</v>
      </c>
      <c r="T193">
        <f t="shared" ca="1" si="60"/>
        <v>0.89002840559646801</v>
      </c>
      <c r="U193">
        <f t="shared" ca="1" si="60"/>
        <v>0.87122016684945802</v>
      </c>
      <c r="V193">
        <f t="shared" ca="1" si="60"/>
        <v>0.94530683543234961</v>
      </c>
      <c r="W193">
        <f t="shared" ca="1" si="60"/>
        <v>0.94217362318792652</v>
      </c>
      <c r="X193" t="e">
        <f t="shared" si="60"/>
        <v>#VALUE!</v>
      </c>
      <c r="Y193" t="e">
        <f t="shared" si="60"/>
        <v>#VALUE!</v>
      </c>
      <c r="Z193" t="e">
        <f t="shared" si="60"/>
        <v>#VALUE!</v>
      </c>
      <c r="AA193" t="e">
        <f t="shared" si="60"/>
        <v>#VALUE!</v>
      </c>
      <c r="AB193" t="e">
        <f t="shared" si="60"/>
        <v>#VALUE!</v>
      </c>
      <c r="AC193" t="e">
        <f t="shared" si="60"/>
        <v>#VALUE!</v>
      </c>
      <c r="AD193" t="e">
        <f t="shared" si="60"/>
        <v>#VALUE!</v>
      </c>
      <c r="AE193" t="e">
        <f t="shared" si="60"/>
        <v>#VALUE!</v>
      </c>
      <c r="AF193" t="e">
        <f t="shared" si="60"/>
        <v>#VALUE!</v>
      </c>
      <c r="AG193" t="e">
        <f t="shared" si="60"/>
        <v>#VALUE!</v>
      </c>
      <c r="AH193" t="e">
        <f t="shared" si="60"/>
        <v>#VALUE!</v>
      </c>
      <c r="AI193" t="e">
        <f t="shared" si="60"/>
        <v>#VALUE!</v>
      </c>
      <c r="AJ193" t="e">
        <f t="shared" si="60"/>
        <v>#VALUE!</v>
      </c>
      <c r="AK193" t="e">
        <f t="shared" ref="AK193:CC193" si="61">IF(AK189&gt;$M$187,AK189^(1/3),($M$188*AK189+16)/116)</f>
        <v>#VALUE!</v>
      </c>
      <c r="AL193" t="e">
        <f t="shared" si="61"/>
        <v>#VALUE!</v>
      </c>
      <c r="AM193" t="e">
        <f t="shared" si="61"/>
        <v>#VALUE!</v>
      </c>
      <c r="AN193" t="e">
        <f t="shared" si="61"/>
        <v>#VALUE!</v>
      </c>
      <c r="AO193" t="e">
        <f t="shared" si="61"/>
        <v>#VALUE!</v>
      </c>
      <c r="AP193" t="e">
        <f t="shared" si="61"/>
        <v>#VALUE!</v>
      </c>
      <c r="AQ193" t="e">
        <f t="shared" si="61"/>
        <v>#VALUE!</v>
      </c>
      <c r="AR193" t="e">
        <f t="shared" si="61"/>
        <v>#VALUE!</v>
      </c>
      <c r="AS193" t="e">
        <f t="shared" si="61"/>
        <v>#VALUE!</v>
      </c>
      <c r="AT193" t="e">
        <f t="shared" si="61"/>
        <v>#VALUE!</v>
      </c>
      <c r="AU193" t="e">
        <f t="shared" si="61"/>
        <v>#VALUE!</v>
      </c>
      <c r="AV193" t="e">
        <f t="shared" si="61"/>
        <v>#VALUE!</v>
      </c>
      <c r="AW193" t="e">
        <f t="shared" si="61"/>
        <v>#VALUE!</v>
      </c>
      <c r="AX193" t="e">
        <f t="shared" si="61"/>
        <v>#VALUE!</v>
      </c>
      <c r="AY193" t="e">
        <f t="shared" si="61"/>
        <v>#VALUE!</v>
      </c>
      <c r="AZ193" t="e">
        <f t="shared" si="61"/>
        <v>#VALUE!</v>
      </c>
      <c r="BA193" t="e">
        <f t="shared" si="61"/>
        <v>#VALUE!</v>
      </c>
      <c r="BB193" t="e">
        <f t="shared" si="61"/>
        <v>#VALUE!</v>
      </c>
      <c r="BC193" t="e">
        <f t="shared" si="61"/>
        <v>#VALUE!</v>
      </c>
      <c r="BD193" t="e">
        <f t="shared" si="61"/>
        <v>#VALUE!</v>
      </c>
      <c r="BE193" t="e">
        <f t="shared" si="61"/>
        <v>#VALUE!</v>
      </c>
      <c r="BF193" t="e">
        <f t="shared" si="61"/>
        <v>#VALUE!</v>
      </c>
      <c r="BG193" t="e">
        <f t="shared" si="61"/>
        <v>#VALUE!</v>
      </c>
      <c r="BH193" t="e">
        <f t="shared" si="61"/>
        <v>#VALUE!</v>
      </c>
      <c r="BI193" t="e">
        <f t="shared" si="61"/>
        <v>#VALUE!</v>
      </c>
      <c r="BJ193" t="e">
        <f t="shared" si="61"/>
        <v>#VALUE!</v>
      </c>
      <c r="BK193" t="e">
        <f t="shared" si="61"/>
        <v>#VALUE!</v>
      </c>
      <c r="BL193" t="e">
        <f t="shared" si="61"/>
        <v>#VALUE!</v>
      </c>
      <c r="BM193" t="e">
        <f t="shared" si="61"/>
        <v>#VALUE!</v>
      </c>
      <c r="BN193" t="e">
        <f t="shared" si="61"/>
        <v>#VALUE!</v>
      </c>
      <c r="BO193" t="e">
        <f t="shared" si="61"/>
        <v>#VALUE!</v>
      </c>
      <c r="BP193" t="e">
        <f t="shared" si="61"/>
        <v>#VALUE!</v>
      </c>
      <c r="BQ193" t="e">
        <f t="shared" si="61"/>
        <v>#VALUE!</v>
      </c>
      <c r="BR193" t="e">
        <f t="shared" si="61"/>
        <v>#VALUE!</v>
      </c>
      <c r="BS193" t="e">
        <f t="shared" si="61"/>
        <v>#VALUE!</v>
      </c>
      <c r="BT193" t="e">
        <f t="shared" si="61"/>
        <v>#VALUE!</v>
      </c>
      <c r="BU193" t="e">
        <f t="shared" si="61"/>
        <v>#VALUE!</v>
      </c>
      <c r="BV193" t="e">
        <f t="shared" si="61"/>
        <v>#VALUE!</v>
      </c>
      <c r="BW193" t="e">
        <f t="shared" si="61"/>
        <v>#VALUE!</v>
      </c>
      <c r="BX193" t="e">
        <f t="shared" si="61"/>
        <v>#VALUE!</v>
      </c>
      <c r="BY193" t="e">
        <f t="shared" si="61"/>
        <v>#VALUE!</v>
      </c>
      <c r="BZ193" t="e">
        <f t="shared" si="61"/>
        <v>#VALUE!</v>
      </c>
      <c r="CA193" t="e">
        <f t="shared" si="61"/>
        <v>#VALUE!</v>
      </c>
      <c r="CB193" t="e">
        <f t="shared" si="61"/>
        <v>#VALUE!</v>
      </c>
      <c r="CC193" t="e">
        <f t="shared" si="61"/>
        <v>#VALUE!</v>
      </c>
      <c r="CD193" t="e">
        <f t="shared" ref="CD193:DB193" si="62">IF(CD189&gt;$M$187,CD189^(1/3),($M$188*CD189+16)/116)</f>
        <v>#VALUE!</v>
      </c>
      <c r="CE193" t="e">
        <f t="shared" si="62"/>
        <v>#VALUE!</v>
      </c>
      <c r="CF193" t="e">
        <f t="shared" si="62"/>
        <v>#VALUE!</v>
      </c>
      <c r="CG193" t="e">
        <f t="shared" si="62"/>
        <v>#VALUE!</v>
      </c>
      <c r="CH193" t="e">
        <f t="shared" si="62"/>
        <v>#VALUE!</v>
      </c>
      <c r="CI193" t="e">
        <f t="shared" si="62"/>
        <v>#VALUE!</v>
      </c>
      <c r="CJ193" t="e">
        <f t="shared" si="62"/>
        <v>#VALUE!</v>
      </c>
      <c r="CK193" t="e">
        <f t="shared" si="62"/>
        <v>#VALUE!</v>
      </c>
      <c r="CL193" t="e">
        <f t="shared" si="62"/>
        <v>#VALUE!</v>
      </c>
      <c r="CM193" t="e">
        <f t="shared" si="62"/>
        <v>#VALUE!</v>
      </c>
      <c r="CN193" t="e">
        <f t="shared" si="62"/>
        <v>#VALUE!</v>
      </c>
      <c r="CO193" t="e">
        <f t="shared" si="62"/>
        <v>#VALUE!</v>
      </c>
      <c r="CP193" t="e">
        <f t="shared" si="62"/>
        <v>#VALUE!</v>
      </c>
      <c r="CQ193" t="e">
        <f t="shared" si="62"/>
        <v>#VALUE!</v>
      </c>
      <c r="CR193" t="e">
        <f t="shared" si="62"/>
        <v>#VALUE!</v>
      </c>
      <c r="CS193" t="e">
        <f t="shared" si="62"/>
        <v>#VALUE!</v>
      </c>
      <c r="CT193" t="e">
        <f t="shared" si="62"/>
        <v>#VALUE!</v>
      </c>
      <c r="CU193" t="e">
        <f t="shared" si="62"/>
        <v>#VALUE!</v>
      </c>
      <c r="CV193" t="e">
        <f t="shared" si="62"/>
        <v>#VALUE!</v>
      </c>
      <c r="CW193" t="e">
        <f t="shared" si="62"/>
        <v>#VALUE!</v>
      </c>
      <c r="CX193" t="e">
        <f t="shared" si="62"/>
        <v>#VALUE!</v>
      </c>
      <c r="CY193" t="e">
        <f t="shared" si="62"/>
        <v>#VALUE!</v>
      </c>
      <c r="CZ193" t="e">
        <f t="shared" si="62"/>
        <v>#VALUE!</v>
      </c>
      <c r="DA193" t="e">
        <f t="shared" si="62"/>
        <v>#VALUE!</v>
      </c>
      <c r="DB193" t="e">
        <f t="shared" si="62"/>
        <v>#VALUE!</v>
      </c>
    </row>
    <row r="194" spans="15:106">
      <c r="O194" t="s">
        <v>35</v>
      </c>
      <c r="P194">
        <f t="shared" ca="1" si="59"/>
        <v>0.9594504227582793</v>
      </c>
      <c r="Q194">
        <f t="shared" ca="1" si="59"/>
        <v>0.93295567719502137</v>
      </c>
      <c r="R194">
        <f t="shared" ref="R194:AJ194" ca="1" si="63">IF(R190&gt;$M$187,R190^(1/3),($M$188*R190+16)/116)</f>
        <v>0.8864689121839715</v>
      </c>
      <c r="S194">
        <f t="shared" ca="1" si="63"/>
        <v>0.90549728044061839</v>
      </c>
      <c r="T194">
        <f t="shared" ca="1" si="63"/>
        <v>0.87441157138394077</v>
      </c>
      <c r="U194">
        <f t="shared" ca="1" si="63"/>
        <v>0.80831296530169083</v>
      </c>
      <c r="V194">
        <f t="shared" ca="1" si="63"/>
        <v>0.9124301565946521</v>
      </c>
      <c r="W194">
        <f t="shared" ca="1" si="63"/>
        <v>0.91173920506708628</v>
      </c>
      <c r="X194" t="e">
        <f t="shared" si="63"/>
        <v>#VALUE!</v>
      </c>
      <c r="Y194" t="e">
        <f t="shared" si="63"/>
        <v>#VALUE!</v>
      </c>
      <c r="Z194" t="e">
        <f t="shared" si="63"/>
        <v>#VALUE!</v>
      </c>
      <c r="AA194" t="e">
        <f t="shared" si="63"/>
        <v>#VALUE!</v>
      </c>
      <c r="AB194" t="e">
        <f t="shared" si="63"/>
        <v>#VALUE!</v>
      </c>
      <c r="AC194" t="e">
        <f t="shared" si="63"/>
        <v>#VALUE!</v>
      </c>
      <c r="AD194" t="e">
        <f t="shared" si="63"/>
        <v>#VALUE!</v>
      </c>
      <c r="AE194" t="e">
        <f t="shared" si="63"/>
        <v>#VALUE!</v>
      </c>
      <c r="AF194" t="e">
        <f t="shared" si="63"/>
        <v>#VALUE!</v>
      </c>
      <c r="AG194" t="e">
        <f t="shared" si="63"/>
        <v>#VALUE!</v>
      </c>
      <c r="AH194" t="e">
        <f t="shared" si="63"/>
        <v>#VALUE!</v>
      </c>
      <c r="AI194" t="e">
        <f t="shared" si="63"/>
        <v>#VALUE!</v>
      </c>
      <c r="AJ194" t="e">
        <f t="shared" si="63"/>
        <v>#VALUE!</v>
      </c>
      <c r="AK194" t="e">
        <f t="shared" ref="AK194:CC194" si="64">IF(AK190&gt;$M$187,AK190^(1/3),($M$188*AK190+16)/116)</f>
        <v>#VALUE!</v>
      </c>
      <c r="AL194" t="e">
        <f t="shared" si="64"/>
        <v>#VALUE!</v>
      </c>
      <c r="AM194" t="e">
        <f t="shared" si="64"/>
        <v>#VALUE!</v>
      </c>
      <c r="AN194" t="e">
        <f t="shared" si="64"/>
        <v>#VALUE!</v>
      </c>
      <c r="AO194" t="e">
        <f t="shared" si="64"/>
        <v>#VALUE!</v>
      </c>
      <c r="AP194" t="e">
        <f t="shared" si="64"/>
        <v>#VALUE!</v>
      </c>
      <c r="AQ194" t="e">
        <f t="shared" si="64"/>
        <v>#VALUE!</v>
      </c>
      <c r="AR194" t="e">
        <f t="shared" si="64"/>
        <v>#VALUE!</v>
      </c>
      <c r="AS194" t="e">
        <f t="shared" si="64"/>
        <v>#VALUE!</v>
      </c>
      <c r="AT194" t="e">
        <f t="shared" si="64"/>
        <v>#VALUE!</v>
      </c>
      <c r="AU194" t="e">
        <f t="shared" si="64"/>
        <v>#VALUE!</v>
      </c>
      <c r="AV194" t="e">
        <f t="shared" si="64"/>
        <v>#VALUE!</v>
      </c>
      <c r="AW194" t="e">
        <f t="shared" si="64"/>
        <v>#VALUE!</v>
      </c>
      <c r="AX194" t="e">
        <f t="shared" si="64"/>
        <v>#VALUE!</v>
      </c>
      <c r="AY194" t="e">
        <f t="shared" si="64"/>
        <v>#VALUE!</v>
      </c>
      <c r="AZ194" t="e">
        <f t="shared" si="64"/>
        <v>#VALUE!</v>
      </c>
      <c r="BA194" t="e">
        <f t="shared" si="64"/>
        <v>#VALUE!</v>
      </c>
      <c r="BB194" t="e">
        <f t="shared" si="64"/>
        <v>#VALUE!</v>
      </c>
      <c r="BC194" t="e">
        <f t="shared" si="64"/>
        <v>#VALUE!</v>
      </c>
      <c r="BD194" t="e">
        <f t="shared" si="64"/>
        <v>#VALUE!</v>
      </c>
      <c r="BE194" t="e">
        <f t="shared" si="64"/>
        <v>#VALUE!</v>
      </c>
      <c r="BF194" t="e">
        <f t="shared" si="64"/>
        <v>#VALUE!</v>
      </c>
      <c r="BG194" t="e">
        <f t="shared" si="64"/>
        <v>#VALUE!</v>
      </c>
      <c r="BH194" t="e">
        <f t="shared" si="64"/>
        <v>#VALUE!</v>
      </c>
      <c r="BI194" t="e">
        <f t="shared" si="64"/>
        <v>#VALUE!</v>
      </c>
      <c r="BJ194" t="e">
        <f t="shared" si="64"/>
        <v>#VALUE!</v>
      </c>
      <c r="BK194" t="e">
        <f t="shared" si="64"/>
        <v>#VALUE!</v>
      </c>
      <c r="BL194" t="e">
        <f t="shared" si="64"/>
        <v>#VALUE!</v>
      </c>
      <c r="BM194" t="e">
        <f t="shared" si="64"/>
        <v>#VALUE!</v>
      </c>
      <c r="BN194" t="e">
        <f t="shared" si="64"/>
        <v>#VALUE!</v>
      </c>
      <c r="BO194" t="e">
        <f t="shared" si="64"/>
        <v>#VALUE!</v>
      </c>
      <c r="BP194" t="e">
        <f t="shared" si="64"/>
        <v>#VALUE!</v>
      </c>
      <c r="BQ194" t="e">
        <f t="shared" si="64"/>
        <v>#VALUE!</v>
      </c>
      <c r="BR194" t="e">
        <f t="shared" si="64"/>
        <v>#VALUE!</v>
      </c>
      <c r="BS194" t="e">
        <f t="shared" si="64"/>
        <v>#VALUE!</v>
      </c>
      <c r="BT194" t="e">
        <f t="shared" si="64"/>
        <v>#VALUE!</v>
      </c>
      <c r="BU194" t="e">
        <f t="shared" si="64"/>
        <v>#VALUE!</v>
      </c>
      <c r="BV194" t="e">
        <f t="shared" si="64"/>
        <v>#VALUE!</v>
      </c>
      <c r="BW194" t="e">
        <f t="shared" si="64"/>
        <v>#VALUE!</v>
      </c>
      <c r="BX194" t="e">
        <f t="shared" si="64"/>
        <v>#VALUE!</v>
      </c>
      <c r="BY194" t="e">
        <f t="shared" si="64"/>
        <v>#VALUE!</v>
      </c>
      <c r="BZ194" t="e">
        <f t="shared" si="64"/>
        <v>#VALUE!</v>
      </c>
      <c r="CA194" t="e">
        <f t="shared" si="64"/>
        <v>#VALUE!</v>
      </c>
      <c r="CB194" t="e">
        <f t="shared" si="64"/>
        <v>#VALUE!</v>
      </c>
      <c r="CC194" t="e">
        <f t="shared" si="64"/>
        <v>#VALUE!</v>
      </c>
      <c r="CD194" t="e">
        <f t="shared" ref="CD194:DB194" si="65">IF(CD190&gt;$M$187,CD190^(1/3),($M$188*CD190+16)/116)</f>
        <v>#VALUE!</v>
      </c>
      <c r="CE194" t="e">
        <f t="shared" si="65"/>
        <v>#VALUE!</v>
      </c>
      <c r="CF194" t="e">
        <f t="shared" si="65"/>
        <v>#VALUE!</v>
      </c>
      <c r="CG194" t="e">
        <f t="shared" si="65"/>
        <v>#VALUE!</v>
      </c>
      <c r="CH194" t="e">
        <f t="shared" si="65"/>
        <v>#VALUE!</v>
      </c>
      <c r="CI194" t="e">
        <f t="shared" si="65"/>
        <v>#VALUE!</v>
      </c>
      <c r="CJ194" t="e">
        <f t="shared" si="65"/>
        <v>#VALUE!</v>
      </c>
      <c r="CK194" t="e">
        <f t="shared" si="65"/>
        <v>#VALUE!</v>
      </c>
      <c r="CL194" t="e">
        <f t="shared" si="65"/>
        <v>#VALUE!</v>
      </c>
      <c r="CM194" t="e">
        <f t="shared" si="65"/>
        <v>#VALUE!</v>
      </c>
      <c r="CN194" t="e">
        <f t="shared" si="65"/>
        <v>#VALUE!</v>
      </c>
      <c r="CO194" t="e">
        <f t="shared" si="65"/>
        <v>#VALUE!</v>
      </c>
      <c r="CP194" t="e">
        <f t="shared" si="65"/>
        <v>#VALUE!</v>
      </c>
      <c r="CQ194" t="e">
        <f t="shared" si="65"/>
        <v>#VALUE!</v>
      </c>
      <c r="CR194" t="e">
        <f t="shared" si="65"/>
        <v>#VALUE!</v>
      </c>
      <c r="CS194" t="e">
        <f t="shared" si="65"/>
        <v>#VALUE!</v>
      </c>
      <c r="CT194" t="e">
        <f t="shared" si="65"/>
        <v>#VALUE!</v>
      </c>
      <c r="CU194" t="e">
        <f t="shared" si="65"/>
        <v>#VALUE!</v>
      </c>
      <c r="CV194" t="e">
        <f t="shared" si="65"/>
        <v>#VALUE!</v>
      </c>
      <c r="CW194" t="e">
        <f t="shared" si="65"/>
        <v>#VALUE!</v>
      </c>
      <c r="CX194" t="e">
        <f t="shared" si="65"/>
        <v>#VALUE!</v>
      </c>
      <c r="CY194" t="e">
        <f t="shared" si="65"/>
        <v>#VALUE!</v>
      </c>
      <c r="CZ194" t="e">
        <f t="shared" si="65"/>
        <v>#VALUE!</v>
      </c>
      <c r="DA194" t="e">
        <f t="shared" si="65"/>
        <v>#VALUE!</v>
      </c>
      <c r="DB194" t="e">
        <f t="shared" si="65"/>
        <v>#VALUE!</v>
      </c>
    </row>
    <row r="196" spans="15:106">
      <c r="O196" s="5" t="s">
        <v>23</v>
      </c>
      <c r="P196" s="9" cm="1">
        <f t="array" aca="1" ref="P196:P198" ca="1">MMULT($K$166:$M$168,P175:P177)</f>
        <v>0.49588955275541435</v>
      </c>
      <c r="Q196" s="9" cm="1">
        <f t="array" aca="1" ref="Q196:Q198" ca="1">MMULT($K$166:$M$168,Q175:Q177)</f>
        <v>0.78633624636467747</v>
      </c>
      <c r="R196" s="9" cm="1">
        <f t="array" aca="1" ref="R196:R198" ca="1">MMULT($K$166:$M$168,R175:R177)</f>
        <v>0.6140894164627072</v>
      </c>
      <c r="S196" s="9" cm="1">
        <f t="array" aca="1" ref="S196:S198" ca="1">MMULT($K$166:$M$168,S175:S177)</f>
        <v>0.42282830578544617</v>
      </c>
      <c r="T196" s="9" cm="1">
        <f t="array" aca="1" ref="T196:T198" ca="1">MMULT($K$166:$M$168,T175:T177)</f>
        <v>0.62741493741764787</v>
      </c>
      <c r="U196" s="9" cm="1">
        <f t="array" aca="1" ref="U196:U198" ca="1">MMULT($K$166:$M$168,U175:U177)</f>
        <v>0.71522698578527799</v>
      </c>
      <c r="V196" s="9" cm="1">
        <f t="array" aca="1" ref="V196:V198" ca="1">MMULT($K$166:$M$168,V175:V177)</f>
        <v>0.89977639200867365</v>
      </c>
      <c r="W196" s="9" cm="1">
        <f t="array" aca="1" ref="W196:W198" ca="1">MMULT($K$166:$M$168,W175:W177)</f>
        <v>0.88921619567197219</v>
      </c>
      <c r="X196" s="9" t="e" cm="1">
        <f t="array" ref="X196">MMULT($K$166:$M$168,X175:X177)</f>
        <v>#VALUE!</v>
      </c>
      <c r="Y196" s="9" t="e" cm="1">
        <f t="array" ref="Y196">MMULT($K$166:$M$168,Y175:Y177)</f>
        <v>#VALUE!</v>
      </c>
      <c r="Z196" s="9" t="e" cm="1">
        <f t="array" ref="Z196">MMULT($K$166:$M$168,Z175:Z177)</f>
        <v>#VALUE!</v>
      </c>
      <c r="AA196" s="9" t="e" cm="1">
        <f t="array" ref="AA196">MMULT($K$166:$M$168,AA175:AA177)</f>
        <v>#VALUE!</v>
      </c>
      <c r="AB196" s="9" t="e" cm="1">
        <f t="array" ref="AB196">MMULT($K$166:$M$168,AB175:AB177)</f>
        <v>#VALUE!</v>
      </c>
      <c r="AC196" s="9" t="e" cm="1">
        <f t="array" ref="AC196">MMULT($K$166:$M$168,AC175:AC177)</f>
        <v>#VALUE!</v>
      </c>
      <c r="AD196" s="9" t="e" cm="1">
        <f t="array" ref="AD196">MMULT($K$166:$M$168,AD175:AD177)</f>
        <v>#VALUE!</v>
      </c>
      <c r="AE196" s="9" t="e" cm="1">
        <f t="array" ref="AE196">MMULT($K$166:$M$168,AE175:AE177)</f>
        <v>#VALUE!</v>
      </c>
      <c r="AF196" s="9" t="e" cm="1">
        <f t="array" ref="AF196">MMULT($K$166:$M$168,AF175:AF177)</f>
        <v>#VALUE!</v>
      </c>
      <c r="AG196" s="9" t="e" cm="1">
        <f t="array" ref="AG196">MMULT($K$166:$M$168,AG175:AG177)</f>
        <v>#VALUE!</v>
      </c>
      <c r="AH196" s="9" t="e" cm="1">
        <f t="array" ref="AH196">MMULT($K$166:$M$168,AH175:AH177)</f>
        <v>#VALUE!</v>
      </c>
      <c r="AI196" s="9" t="e" cm="1">
        <f t="array" ref="AI196">MMULT($K$166:$M$168,AI175:AI177)</f>
        <v>#VALUE!</v>
      </c>
      <c r="AJ196" s="9" t="e" cm="1">
        <f t="array" ref="AJ196">MMULT($K$166:$M$168,AJ175:AJ177)</f>
        <v>#VALUE!</v>
      </c>
      <c r="AK196" s="9" t="e" cm="1">
        <f t="array" ref="AK196">MMULT($K$166:$M$168,AK175:AK177)</f>
        <v>#VALUE!</v>
      </c>
      <c r="AL196" s="9" t="e" cm="1">
        <f t="array" ref="AL196">MMULT($K$166:$M$168,AL175:AL177)</f>
        <v>#VALUE!</v>
      </c>
      <c r="AM196" s="9" t="e" cm="1">
        <f t="array" ref="AM196">MMULT($K$166:$M$168,AM175:AM177)</f>
        <v>#VALUE!</v>
      </c>
      <c r="AN196" s="9" t="e" cm="1">
        <f t="array" ref="AN196">MMULT($K$166:$M$168,AN175:AN177)</f>
        <v>#VALUE!</v>
      </c>
      <c r="AO196" s="9" t="e" cm="1">
        <f t="array" ref="AO196">MMULT($K$166:$M$168,AO175:AO177)</f>
        <v>#VALUE!</v>
      </c>
      <c r="AP196" s="9" t="e" cm="1">
        <f t="array" ref="AP196">MMULT($K$166:$M$168,AP175:AP177)</f>
        <v>#VALUE!</v>
      </c>
      <c r="AQ196" s="9" t="e" cm="1">
        <f t="array" ref="AQ196">MMULT($K$166:$M$168,AQ175:AQ177)</f>
        <v>#VALUE!</v>
      </c>
      <c r="AR196" s="9" t="e" cm="1">
        <f t="array" ref="AR196">MMULT($K$166:$M$168,AR175:AR177)</f>
        <v>#VALUE!</v>
      </c>
      <c r="AS196" s="9" t="e" cm="1">
        <f t="array" ref="AS196">MMULT($K$166:$M$168,AS175:AS177)</f>
        <v>#VALUE!</v>
      </c>
      <c r="AT196" s="9" t="e" cm="1">
        <f t="array" ref="AT196">MMULT($K$166:$M$168,AT175:AT177)</f>
        <v>#VALUE!</v>
      </c>
      <c r="AU196" s="9" t="e" cm="1">
        <f t="array" ref="AU196">MMULT($K$166:$M$168,AU175:AU177)</f>
        <v>#VALUE!</v>
      </c>
      <c r="AV196" s="9" t="e" cm="1">
        <f t="array" ref="AV196">MMULT($K$166:$M$168,AV175:AV177)</f>
        <v>#VALUE!</v>
      </c>
      <c r="AW196" s="9" t="e" cm="1">
        <f t="array" ref="AW196">MMULT($K$166:$M$168,AW175:AW177)</f>
        <v>#VALUE!</v>
      </c>
      <c r="AX196" s="9" t="e" cm="1">
        <f t="array" ref="AX196">MMULT($K$166:$M$168,AX175:AX177)</f>
        <v>#VALUE!</v>
      </c>
      <c r="AY196" s="9" t="e" cm="1">
        <f t="array" ref="AY196">MMULT($K$166:$M$168,AY175:AY177)</f>
        <v>#VALUE!</v>
      </c>
      <c r="AZ196" s="9" t="e" cm="1">
        <f t="array" ref="AZ196">MMULT($K$166:$M$168,AZ175:AZ177)</f>
        <v>#VALUE!</v>
      </c>
      <c r="BA196" s="9" t="e" cm="1">
        <f t="array" ref="BA196">MMULT($K$166:$M$168,BA175:BA177)</f>
        <v>#VALUE!</v>
      </c>
      <c r="BB196" s="9" t="e" cm="1">
        <f t="array" ref="BB196">MMULT($K$166:$M$168,BB175:BB177)</f>
        <v>#VALUE!</v>
      </c>
      <c r="BC196" s="9" t="e" cm="1">
        <f t="array" ref="BC196">MMULT($K$166:$M$168,BC175:BC177)</f>
        <v>#VALUE!</v>
      </c>
      <c r="BD196" s="9" t="e" cm="1">
        <f t="array" ref="BD196">MMULT($K$166:$M$168,BD175:BD177)</f>
        <v>#VALUE!</v>
      </c>
      <c r="BE196" s="9" t="e" cm="1">
        <f t="array" ref="BE196">MMULT($K$166:$M$168,BE175:BE177)</f>
        <v>#VALUE!</v>
      </c>
      <c r="BF196" s="9" t="e" cm="1">
        <f t="array" ref="BF196">MMULT($K$166:$M$168,BF175:BF177)</f>
        <v>#VALUE!</v>
      </c>
      <c r="BG196" s="9" t="e" cm="1">
        <f t="array" ref="BG196">MMULT($K$166:$M$168,BG175:BG177)</f>
        <v>#VALUE!</v>
      </c>
      <c r="BH196" s="9" t="e" cm="1">
        <f t="array" ref="BH196">MMULT($K$166:$M$168,BH175:BH177)</f>
        <v>#VALUE!</v>
      </c>
      <c r="BI196" s="9" t="e" cm="1">
        <f t="array" ref="BI196">MMULT($K$166:$M$168,BI175:BI177)</f>
        <v>#VALUE!</v>
      </c>
      <c r="BJ196" s="9" t="e" cm="1">
        <f t="array" ref="BJ196">MMULT($K$166:$M$168,BJ175:BJ177)</f>
        <v>#VALUE!</v>
      </c>
      <c r="BK196" s="9" t="e" cm="1">
        <f t="array" ref="BK196">MMULT($K$166:$M$168,BK175:BK177)</f>
        <v>#VALUE!</v>
      </c>
      <c r="BL196" s="9" t="e" cm="1">
        <f t="array" ref="BL196">MMULT($K$166:$M$168,BL175:BL177)</f>
        <v>#VALUE!</v>
      </c>
      <c r="BM196" s="9" t="e" cm="1">
        <f t="array" ref="BM196">MMULT($K$166:$M$168,BM175:BM177)</f>
        <v>#VALUE!</v>
      </c>
      <c r="BN196" s="9" t="e" cm="1">
        <f t="array" ref="BN196">MMULT($K$166:$M$168,BN175:BN177)</f>
        <v>#VALUE!</v>
      </c>
      <c r="BO196" s="9" t="e" cm="1">
        <f t="array" ref="BO196">MMULT($K$166:$M$168,BO175:BO177)</f>
        <v>#VALUE!</v>
      </c>
      <c r="BP196" s="9" t="e" cm="1">
        <f t="array" ref="BP196">MMULT($K$166:$M$168,BP175:BP177)</f>
        <v>#VALUE!</v>
      </c>
      <c r="BQ196" s="9" t="e" cm="1">
        <f t="array" ref="BQ196">MMULT($K$166:$M$168,BQ175:BQ177)</f>
        <v>#VALUE!</v>
      </c>
      <c r="BR196" s="9" t="e" cm="1">
        <f t="array" ref="BR196">MMULT($K$166:$M$168,BR175:BR177)</f>
        <v>#VALUE!</v>
      </c>
      <c r="BS196" s="9" t="e" cm="1">
        <f t="array" ref="BS196">MMULT($K$166:$M$168,BS175:BS177)</f>
        <v>#VALUE!</v>
      </c>
      <c r="BT196" s="9" t="e" cm="1">
        <f t="array" ref="BT196">MMULT($K$166:$M$168,BT175:BT177)</f>
        <v>#VALUE!</v>
      </c>
      <c r="BU196" s="9" t="e" cm="1">
        <f t="array" ref="BU196">MMULT($K$166:$M$168,BU175:BU177)</f>
        <v>#VALUE!</v>
      </c>
      <c r="BV196" s="9" t="e" cm="1">
        <f t="array" ref="BV196">MMULT($K$166:$M$168,BV175:BV177)</f>
        <v>#VALUE!</v>
      </c>
      <c r="BW196" s="9" t="e" cm="1">
        <f t="array" ref="BW196">MMULT($K$166:$M$168,BW175:BW177)</f>
        <v>#VALUE!</v>
      </c>
      <c r="BX196" s="9" t="e" cm="1">
        <f t="array" ref="BX196">MMULT($K$166:$M$168,BX175:BX177)</f>
        <v>#VALUE!</v>
      </c>
      <c r="BY196" s="9" t="e" cm="1">
        <f t="array" ref="BY196">MMULT($K$166:$M$168,BY175:BY177)</f>
        <v>#VALUE!</v>
      </c>
      <c r="BZ196" s="9" t="e" cm="1">
        <f t="array" ref="BZ196">MMULT($K$166:$M$168,BZ175:BZ177)</f>
        <v>#VALUE!</v>
      </c>
      <c r="CA196" s="9" t="e" cm="1">
        <f t="array" ref="CA196">MMULT($K$166:$M$168,CA175:CA177)</f>
        <v>#VALUE!</v>
      </c>
      <c r="CB196" s="9" t="e" cm="1">
        <f t="array" ref="CB196">MMULT($K$166:$M$168,CB175:CB177)</f>
        <v>#VALUE!</v>
      </c>
      <c r="CC196" s="9" t="e" cm="1">
        <f t="array" ref="CC196">MMULT($K$166:$M$168,CC175:CC177)</f>
        <v>#VALUE!</v>
      </c>
      <c r="CD196" s="9" t="e" cm="1">
        <f t="array" ref="CD196">MMULT($K$166:$M$168,CD175:CD177)</f>
        <v>#VALUE!</v>
      </c>
      <c r="CE196" s="9" t="e" cm="1">
        <f t="array" ref="CE196">MMULT($K$166:$M$168,CE175:CE177)</f>
        <v>#VALUE!</v>
      </c>
      <c r="CF196" s="9" t="e" cm="1">
        <f t="array" ref="CF196">MMULT($K$166:$M$168,CF175:CF177)</f>
        <v>#VALUE!</v>
      </c>
      <c r="CG196" s="9" t="e" cm="1">
        <f t="array" ref="CG196">MMULT($K$166:$M$168,CG175:CG177)</f>
        <v>#VALUE!</v>
      </c>
      <c r="CH196" s="9" t="e" cm="1">
        <f t="array" ref="CH196">MMULT($K$166:$M$168,CH175:CH177)</f>
        <v>#VALUE!</v>
      </c>
      <c r="CI196" s="9" t="e" cm="1">
        <f t="array" ref="CI196">MMULT($K$166:$M$168,CI175:CI177)</f>
        <v>#VALUE!</v>
      </c>
      <c r="CJ196" s="9" t="e" cm="1">
        <f t="array" ref="CJ196">MMULT($K$166:$M$168,CJ175:CJ177)</f>
        <v>#VALUE!</v>
      </c>
      <c r="CK196" s="9" t="e" cm="1">
        <f t="array" ref="CK196">MMULT($K$166:$M$168,CK175:CK177)</f>
        <v>#VALUE!</v>
      </c>
      <c r="CL196" s="9" t="e" cm="1">
        <f t="array" ref="CL196">MMULT($K$166:$M$168,CL175:CL177)</f>
        <v>#VALUE!</v>
      </c>
      <c r="CM196" s="9" t="e" cm="1">
        <f t="array" ref="CM196">MMULT($K$166:$M$168,CM175:CM177)</f>
        <v>#VALUE!</v>
      </c>
      <c r="CN196" s="9" t="e" cm="1">
        <f t="array" ref="CN196">MMULT($K$166:$M$168,CN175:CN177)</f>
        <v>#VALUE!</v>
      </c>
      <c r="CO196" s="9" t="e" cm="1">
        <f t="array" ref="CO196">MMULT($K$166:$M$168,CO175:CO177)</f>
        <v>#VALUE!</v>
      </c>
      <c r="CP196" s="9" t="e" cm="1">
        <f t="array" ref="CP196">MMULT($K$166:$M$168,CP175:CP177)</f>
        <v>#VALUE!</v>
      </c>
      <c r="CQ196" s="9" t="e" cm="1">
        <f t="array" ref="CQ196">MMULT($K$166:$M$168,CQ175:CQ177)</f>
        <v>#VALUE!</v>
      </c>
      <c r="CR196" s="9" t="e" cm="1">
        <f t="array" ref="CR196">MMULT($K$166:$M$168,CR175:CR177)</f>
        <v>#VALUE!</v>
      </c>
      <c r="CS196" s="9" t="e" cm="1">
        <f t="array" ref="CS196">MMULT($K$166:$M$168,CS175:CS177)</f>
        <v>#VALUE!</v>
      </c>
      <c r="CT196" s="9" t="e" cm="1">
        <f t="array" ref="CT196">MMULT($K$166:$M$168,CT175:CT177)</f>
        <v>#VALUE!</v>
      </c>
      <c r="CU196" s="9" t="e" cm="1">
        <f t="array" ref="CU196">MMULT($K$166:$M$168,CU175:CU177)</f>
        <v>#VALUE!</v>
      </c>
      <c r="CV196" s="9" t="e" cm="1">
        <f t="array" ref="CV196">MMULT($K$166:$M$168,CV175:CV177)</f>
        <v>#VALUE!</v>
      </c>
      <c r="CW196" s="9" t="e" cm="1">
        <f t="array" ref="CW196">MMULT($K$166:$M$168,CW175:CW177)</f>
        <v>#VALUE!</v>
      </c>
      <c r="CX196" s="9" t="e" cm="1">
        <f t="array" ref="CX196">MMULT($K$166:$M$168,CX175:CX177)</f>
        <v>#VALUE!</v>
      </c>
      <c r="CY196" s="9" t="e" cm="1">
        <f t="array" ref="CY196">MMULT($K$166:$M$168,CY175:CY177)</f>
        <v>#VALUE!</v>
      </c>
      <c r="CZ196" s="9" t="e" cm="1">
        <f t="array" ref="CZ196">MMULT($K$166:$M$168,CZ175:CZ177)</f>
        <v>#VALUE!</v>
      </c>
      <c r="DA196" s="9" t="e" cm="1">
        <f t="array" ref="DA196">MMULT($K$166:$M$168,DA175:DA177)</f>
        <v>#VALUE!</v>
      </c>
      <c r="DB196" s="9" t="e" cm="1">
        <f t="array" ref="DB196">MMULT($K$166:$M$168,DB175:DB177)</f>
        <v>#VALUE!</v>
      </c>
    </row>
    <row r="197" spans="15:106">
      <c r="O197" s="5" t="s">
        <v>24</v>
      </c>
      <c r="P197" s="9">
        <f ca="1"/>
        <v>0.73087704267013698</v>
      </c>
      <c r="Q197" s="9">
        <f ca="1"/>
        <v>0.82938059833636879</v>
      </c>
      <c r="R197" s="9">
        <f ca="1"/>
        <v>0.69078010941976697</v>
      </c>
      <c r="S197" s="9">
        <f ca="1"/>
        <v>0.68675600920551538</v>
      </c>
      <c r="T197" s="9">
        <f ca="1"/>
        <v>0.73252489179593672</v>
      </c>
      <c r="U197" s="9">
        <f ca="1"/>
        <v>0.66073454862447722</v>
      </c>
      <c r="V197" s="9">
        <f ca="1"/>
        <v>0.8382334161508771</v>
      </c>
      <c r="W197" s="9">
        <f ca="1"/>
        <v>0.82973774332345995</v>
      </c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</row>
    <row r="198" spans="15:106">
      <c r="O198" s="5" t="s">
        <v>25</v>
      </c>
      <c r="P198" s="9">
        <f ca="1"/>
        <v>0.91020487635197889</v>
      </c>
      <c r="Q198" s="9">
        <f ca="1"/>
        <v>0.81040001455676736</v>
      </c>
      <c r="R198" s="9">
        <f ca="1"/>
        <v>0.69902160491353382</v>
      </c>
      <c r="S198" s="9">
        <f ca="1"/>
        <v>0.75592683107760983</v>
      </c>
      <c r="T198" s="9">
        <f ca="1"/>
        <v>0.66138715939755488</v>
      </c>
      <c r="U198" s="9">
        <f ca="1"/>
        <v>0.50768850005423749</v>
      </c>
      <c r="V198" s="9">
        <f ca="1"/>
        <v>0.74691343141841005</v>
      </c>
      <c r="W198" s="9">
        <f ca="1"/>
        <v>0.74621807799362005</v>
      </c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</row>
    <row r="200" spans="15:106">
      <c r="O200" t="s">
        <v>23</v>
      </c>
      <c r="P200">
        <f ca="1">ROUND(255*IF(P196&lt;0.0031308,12.92*P196,1.055*P196^(1/2.4)-0.055),0)</f>
        <v>187</v>
      </c>
      <c r="Q200">
        <f t="shared" ref="Q200:R200" ca="1" si="66">ROUND(255*IF(Q196&lt;0.0031308,12.92*Q196,1.055*Q196^(1/2.4)-0.055),0)</f>
        <v>229</v>
      </c>
      <c r="R200">
        <f t="shared" ca="1" si="66"/>
        <v>206</v>
      </c>
      <c r="S200">
        <f t="shared" ref="S200:AJ200" ca="1" si="67">ROUND(255*IF(S196&lt;0.0031308,12.92*S196,1.055*S196^(1/2.4)-0.055),0)</f>
        <v>174</v>
      </c>
      <c r="T200">
        <f t="shared" ca="1" si="67"/>
        <v>208</v>
      </c>
      <c r="U200">
        <f t="shared" ca="1" si="67"/>
        <v>220</v>
      </c>
      <c r="V200">
        <f t="shared" ca="1" si="67"/>
        <v>243</v>
      </c>
      <c r="W200">
        <f t="shared" ca="1" si="67"/>
        <v>242</v>
      </c>
      <c r="X200" t="e">
        <f t="shared" si="67"/>
        <v>#VALUE!</v>
      </c>
      <c r="Y200" t="e">
        <f t="shared" si="67"/>
        <v>#VALUE!</v>
      </c>
      <c r="Z200" t="e">
        <f t="shared" si="67"/>
        <v>#VALUE!</v>
      </c>
      <c r="AA200" t="e">
        <f t="shared" si="67"/>
        <v>#VALUE!</v>
      </c>
      <c r="AB200" t="e">
        <f t="shared" si="67"/>
        <v>#VALUE!</v>
      </c>
      <c r="AC200" t="e">
        <f t="shared" si="67"/>
        <v>#VALUE!</v>
      </c>
      <c r="AD200" t="e">
        <f t="shared" si="67"/>
        <v>#VALUE!</v>
      </c>
      <c r="AE200" t="e">
        <f t="shared" si="67"/>
        <v>#VALUE!</v>
      </c>
      <c r="AF200" t="e">
        <f t="shared" si="67"/>
        <v>#VALUE!</v>
      </c>
      <c r="AG200" t="e">
        <f t="shared" si="67"/>
        <v>#VALUE!</v>
      </c>
      <c r="AH200" t="e">
        <f t="shared" si="67"/>
        <v>#VALUE!</v>
      </c>
      <c r="AI200" t="e">
        <f t="shared" si="67"/>
        <v>#VALUE!</v>
      </c>
      <c r="AJ200" t="e">
        <f t="shared" si="67"/>
        <v>#VALUE!</v>
      </c>
      <c r="AK200" t="e">
        <f t="shared" ref="AK200:CC200" si="68">ROUND(255*IF(AK196&lt;0.0031308,12.92*AK196,1.055*AK196^(1/2.4)-0.055),0)</f>
        <v>#VALUE!</v>
      </c>
      <c r="AL200" t="e">
        <f t="shared" si="68"/>
        <v>#VALUE!</v>
      </c>
      <c r="AM200" t="e">
        <f t="shared" si="68"/>
        <v>#VALUE!</v>
      </c>
      <c r="AN200" t="e">
        <f t="shared" si="68"/>
        <v>#VALUE!</v>
      </c>
      <c r="AO200" t="e">
        <f t="shared" si="68"/>
        <v>#VALUE!</v>
      </c>
      <c r="AP200" t="e">
        <f t="shared" si="68"/>
        <v>#VALUE!</v>
      </c>
      <c r="AQ200" t="e">
        <f t="shared" si="68"/>
        <v>#VALUE!</v>
      </c>
      <c r="AR200" t="e">
        <f t="shared" si="68"/>
        <v>#VALUE!</v>
      </c>
      <c r="AS200" t="e">
        <f t="shared" si="68"/>
        <v>#VALUE!</v>
      </c>
      <c r="AT200" t="e">
        <f t="shared" si="68"/>
        <v>#VALUE!</v>
      </c>
      <c r="AU200" t="e">
        <f t="shared" si="68"/>
        <v>#VALUE!</v>
      </c>
      <c r="AV200" t="e">
        <f t="shared" si="68"/>
        <v>#VALUE!</v>
      </c>
      <c r="AW200" t="e">
        <f t="shared" si="68"/>
        <v>#VALUE!</v>
      </c>
      <c r="AX200" t="e">
        <f t="shared" si="68"/>
        <v>#VALUE!</v>
      </c>
      <c r="AY200" t="e">
        <f t="shared" si="68"/>
        <v>#VALUE!</v>
      </c>
      <c r="AZ200" t="e">
        <f t="shared" si="68"/>
        <v>#VALUE!</v>
      </c>
      <c r="BA200" t="e">
        <f t="shared" si="68"/>
        <v>#VALUE!</v>
      </c>
      <c r="BB200" t="e">
        <f t="shared" si="68"/>
        <v>#VALUE!</v>
      </c>
      <c r="BC200" t="e">
        <f t="shared" si="68"/>
        <v>#VALUE!</v>
      </c>
      <c r="BD200" t="e">
        <f t="shared" si="68"/>
        <v>#VALUE!</v>
      </c>
      <c r="BE200" t="e">
        <f t="shared" si="68"/>
        <v>#VALUE!</v>
      </c>
      <c r="BF200" t="e">
        <f t="shared" si="68"/>
        <v>#VALUE!</v>
      </c>
      <c r="BG200" t="e">
        <f t="shared" si="68"/>
        <v>#VALUE!</v>
      </c>
      <c r="BH200" t="e">
        <f t="shared" si="68"/>
        <v>#VALUE!</v>
      </c>
      <c r="BI200" t="e">
        <f t="shared" si="68"/>
        <v>#VALUE!</v>
      </c>
      <c r="BJ200" t="e">
        <f t="shared" si="68"/>
        <v>#VALUE!</v>
      </c>
      <c r="BK200" t="e">
        <f t="shared" si="68"/>
        <v>#VALUE!</v>
      </c>
      <c r="BL200" t="e">
        <f t="shared" si="68"/>
        <v>#VALUE!</v>
      </c>
      <c r="BM200" t="e">
        <f t="shared" si="68"/>
        <v>#VALUE!</v>
      </c>
      <c r="BN200" t="e">
        <f t="shared" si="68"/>
        <v>#VALUE!</v>
      </c>
      <c r="BO200" t="e">
        <f t="shared" si="68"/>
        <v>#VALUE!</v>
      </c>
      <c r="BP200" t="e">
        <f t="shared" si="68"/>
        <v>#VALUE!</v>
      </c>
      <c r="BQ200" t="e">
        <f t="shared" si="68"/>
        <v>#VALUE!</v>
      </c>
      <c r="BR200" t="e">
        <f t="shared" si="68"/>
        <v>#VALUE!</v>
      </c>
      <c r="BS200" t="e">
        <f t="shared" si="68"/>
        <v>#VALUE!</v>
      </c>
      <c r="BT200" t="e">
        <f t="shared" si="68"/>
        <v>#VALUE!</v>
      </c>
      <c r="BU200" t="e">
        <f t="shared" si="68"/>
        <v>#VALUE!</v>
      </c>
      <c r="BV200" t="e">
        <f t="shared" si="68"/>
        <v>#VALUE!</v>
      </c>
      <c r="BW200" t="e">
        <f t="shared" si="68"/>
        <v>#VALUE!</v>
      </c>
      <c r="BX200" t="e">
        <f t="shared" si="68"/>
        <v>#VALUE!</v>
      </c>
      <c r="BY200" t="e">
        <f t="shared" si="68"/>
        <v>#VALUE!</v>
      </c>
      <c r="BZ200" t="e">
        <f t="shared" si="68"/>
        <v>#VALUE!</v>
      </c>
      <c r="CA200" t="e">
        <f t="shared" si="68"/>
        <v>#VALUE!</v>
      </c>
      <c r="CB200" t="e">
        <f t="shared" si="68"/>
        <v>#VALUE!</v>
      </c>
      <c r="CC200" t="e">
        <f t="shared" si="68"/>
        <v>#VALUE!</v>
      </c>
      <c r="CD200" t="e">
        <f t="shared" ref="CD200:DB200" si="69">ROUND(255*IF(CD196&lt;0.0031308,12.92*CD196,1.055*CD196^(1/2.4)-0.055),0)</f>
        <v>#VALUE!</v>
      </c>
      <c r="CE200" t="e">
        <f t="shared" si="69"/>
        <v>#VALUE!</v>
      </c>
      <c r="CF200" t="e">
        <f t="shared" si="69"/>
        <v>#VALUE!</v>
      </c>
      <c r="CG200" t="e">
        <f t="shared" si="69"/>
        <v>#VALUE!</v>
      </c>
      <c r="CH200" t="e">
        <f t="shared" si="69"/>
        <v>#VALUE!</v>
      </c>
      <c r="CI200" t="e">
        <f t="shared" si="69"/>
        <v>#VALUE!</v>
      </c>
      <c r="CJ200" t="e">
        <f t="shared" si="69"/>
        <v>#VALUE!</v>
      </c>
      <c r="CK200" t="e">
        <f t="shared" si="69"/>
        <v>#VALUE!</v>
      </c>
      <c r="CL200" t="e">
        <f t="shared" si="69"/>
        <v>#VALUE!</v>
      </c>
      <c r="CM200" t="e">
        <f t="shared" si="69"/>
        <v>#VALUE!</v>
      </c>
      <c r="CN200" t="e">
        <f t="shared" si="69"/>
        <v>#VALUE!</v>
      </c>
      <c r="CO200" t="e">
        <f t="shared" si="69"/>
        <v>#VALUE!</v>
      </c>
      <c r="CP200" t="e">
        <f t="shared" si="69"/>
        <v>#VALUE!</v>
      </c>
      <c r="CQ200" t="e">
        <f t="shared" si="69"/>
        <v>#VALUE!</v>
      </c>
      <c r="CR200" t="e">
        <f t="shared" si="69"/>
        <v>#VALUE!</v>
      </c>
      <c r="CS200" t="e">
        <f t="shared" si="69"/>
        <v>#VALUE!</v>
      </c>
      <c r="CT200" t="e">
        <f t="shared" si="69"/>
        <v>#VALUE!</v>
      </c>
      <c r="CU200" t="e">
        <f t="shared" si="69"/>
        <v>#VALUE!</v>
      </c>
      <c r="CV200" t="e">
        <f t="shared" si="69"/>
        <v>#VALUE!</v>
      </c>
      <c r="CW200" t="e">
        <f t="shared" si="69"/>
        <v>#VALUE!</v>
      </c>
      <c r="CX200" t="e">
        <f t="shared" si="69"/>
        <v>#VALUE!</v>
      </c>
      <c r="CY200" t="e">
        <f t="shared" si="69"/>
        <v>#VALUE!</v>
      </c>
      <c r="CZ200" t="e">
        <f t="shared" si="69"/>
        <v>#VALUE!</v>
      </c>
      <c r="DA200" t="e">
        <f t="shared" si="69"/>
        <v>#VALUE!</v>
      </c>
      <c r="DB200" t="e">
        <f t="shared" si="69"/>
        <v>#VALUE!</v>
      </c>
    </row>
    <row r="201" spans="15:106">
      <c r="O201" t="s">
        <v>24</v>
      </c>
      <c r="P201">
        <f t="shared" ref="P201:R201" ca="1" si="70">ROUND(255*IF(P197&lt;0.0031308,12.92*P197,1.055*P197^(1/2.4)-0.055),0)</f>
        <v>222</v>
      </c>
      <c r="Q201">
        <f t="shared" ca="1" si="70"/>
        <v>235</v>
      </c>
      <c r="R201">
        <f t="shared" ca="1" si="70"/>
        <v>217</v>
      </c>
      <c r="S201">
        <f t="shared" ref="S201:AJ201" ca="1" si="71">ROUND(255*IF(S197&lt;0.0031308,12.92*S197,1.055*S197^(1/2.4)-0.055),0)</f>
        <v>216</v>
      </c>
      <c r="T201">
        <f t="shared" ca="1" si="71"/>
        <v>222</v>
      </c>
      <c r="U201">
        <f t="shared" ca="1" si="71"/>
        <v>212</v>
      </c>
      <c r="V201">
        <f t="shared" ca="1" si="71"/>
        <v>236</v>
      </c>
      <c r="W201">
        <f t="shared" ca="1" si="71"/>
        <v>235</v>
      </c>
      <c r="X201">
        <f t="shared" si="71"/>
        <v>0</v>
      </c>
      <c r="Y201">
        <f t="shared" si="71"/>
        <v>0</v>
      </c>
      <c r="Z201">
        <f t="shared" si="71"/>
        <v>0</v>
      </c>
      <c r="AA201">
        <f t="shared" si="71"/>
        <v>0</v>
      </c>
      <c r="AB201">
        <f t="shared" si="71"/>
        <v>0</v>
      </c>
      <c r="AC201">
        <f t="shared" si="71"/>
        <v>0</v>
      </c>
      <c r="AD201">
        <f t="shared" si="71"/>
        <v>0</v>
      </c>
      <c r="AE201">
        <f t="shared" si="71"/>
        <v>0</v>
      </c>
      <c r="AF201">
        <f t="shared" si="71"/>
        <v>0</v>
      </c>
      <c r="AG201">
        <f t="shared" si="71"/>
        <v>0</v>
      </c>
      <c r="AH201">
        <f t="shared" si="71"/>
        <v>0</v>
      </c>
      <c r="AI201">
        <f t="shared" si="71"/>
        <v>0</v>
      </c>
      <c r="AJ201">
        <f t="shared" si="71"/>
        <v>0</v>
      </c>
      <c r="AK201">
        <f t="shared" ref="AK201:CC201" si="72">ROUND(255*IF(AK197&lt;0.0031308,12.92*AK197,1.055*AK197^(1/2.4)-0.055),0)</f>
        <v>0</v>
      </c>
      <c r="AL201">
        <f t="shared" si="72"/>
        <v>0</v>
      </c>
      <c r="AM201">
        <f t="shared" si="72"/>
        <v>0</v>
      </c>
      <c r="AN201">
        <f t="shared" si="72"/>
        <v>0</v>
      </c>
      <c r="AO201">
        <f t="shared" si="72"/>
        <v>0</v>
      </c>
      <c r="AP201">
        <f t="shared" si="72"/>
        <v>0</v>
      </c>
      <c r="AQ201">
        <f t="shared" si="72"/>
        <v>0</v>
      </c>
      <c r="AR201">
        <f t="shared" si="72"/>
        <v>0</v>
      </c>
      <c r="AS201">
        <f t="shared" si="72"/>
        <v>0</v>
      </c>
      <c r="AT201">
        <f t="shared" si="72"/>
        <v>0</v>
      </c>
      <c r="AU201">
        <f t="shared" si="72"/>
        <v>0</v>
      </c>
      <c r="AV201">
        <f t="shared" si="72"/>
        <v>0</v>
      </c>
      <c r="AW201">
        <f t="shared" si="72"/>
        <v>0</v>
      </c>
      <c r="AX201">
        <f t="shared" si="72"/>
        <v>0</v>
      </c>
      <c r="AY201">
        <f t="shared" si="72"/>
        <v>0</v>
      </c>
      <c r="AZ201">
        <f t="shared" si="72"/>
        <v>0</v>
      </c>
      <c r="BA201">
        <f t="shared" si="72"/>
        <v>0</v>
      </c>
      <c r="BB201">
        <f t="shared" si="72"/>
        <v>0</v>
      </c>
      <c r="BC201">
        <f t="shared" si="72"/>
        <v>0</v>
      </c>
      <c r="BD201">
        <f t="shared" si="72"/>
        <v>0</v>
      </c>
      <c r="BE201">
        <f t="shared" si="72"/>
        <v>0</v>
      </c>
      <c r="BF201">
        <f t="shared" si="72"/>
        <v>0</v>
      </c>
      <c r="BG201">
        <f t="shared" si="72"/>
        <v>0</v>
      </c>
      <c r="BH201">
        <f t="shared" si="72"/>
        <v>0</v>
      </c>
      <c r="BI201">
        <f t="shared" si="72"/>
        <v>0</v>
      </c>
      <c r="BJ201">
        <f t="shared" si="72"/>
        <v>0</v>
      </c>
      <c r="BK201">
        <f t="shared" si="72"/>
        <v>0</v>
      </c>
      <c r="BL201">
        <f t="shared" si="72"/>
        <v>0</v>
      </c>
      <c r="BM201">
        <f t="shared" si="72"/>
        <v>0</v>
      </c>
      <c r="BN201">
        <f t="shared" si="72"/>
        <v>0</v>
      </c>
      <c r="BO201">
        <f t="shared" si="72"/>
        <v>0</v>
      </c>
      <c r="BP201">
        <f t="shared" si="72"/>
        <v>0</v>
      </c>
      <c r="BQ201">
        <f t="shared" si="72"/>
        <v>0</v>
      </c>
      <c r="BR201">
        <f t="shared" si="72"/>
        <v>0</v>
      </c>
      <c r="BS201">
        <f t="shared" si="72"/>
        <v>0</v>
      </c>
      <c r="BT201">
        <f t="shared" si="72"/>
        <v>0</v>
      </c>
      <c r="BU201">
        <f t="shared" si="72"/>
        <v>0</v>
      </c>
      <c r="BV201">
        <f t="shared" si="72"/>
        <v>0</v>
      </c>
      <c r="BW201">
        <f t="shared" si="72"/>
        <v>0</v>
      </c>
      <c r="BX201">
        <f t="shared" si="72"/>
        <v>0</v>
      </c>
      <c r="BY201">
        <f t="shared" si="72"/>
        <v>0</v>
      </c>
      <c r="BZ201">
        <f t="shared" si="72"/>
        <v>0</v>
      </c>
      <c r="CA201">
        <f t="shared" si="72"/>
        <v>0</v>
      </c>
      <c r="CB201">
        <f t="shared" si="72"/>
        <v>0</v>
      </c>
      <c r="CC201">
        <f t="shared" si="72"/>
        <v>0</v>
      </c>
      <c r="CD201">
        <f t="shared" ref="CD201:DB201" si="73">ROUND(255*IF(CD197&lt;0.0031308,12.92*CD197,1.055*CD197^(1/2.4)-0.055),0)</f>
        <v>0</v>
      </c>
      <c r="CE201">
        <f t="shared" si="73"/>
        <v>0</v>
      </c>
      <c r="CF201">
        <f t="shared" si="73"/>
        <v>0</v>
      </c>
      <c r="CG201">
        <f t="shared" si="73"/>
        <v>0</v>
      </c>
      <c r="CH201">
        <f t="shared" si="73"/>
        <v>0</v>
      </c>
      <c r="CI201">
        <f t="shared" si="73"/>
        <v>0</v>
      </c>
      <c r="CJ201">
        <f t="shared" si="73"/>
        <v>0</v>
      </c>
      <c r="CK201">
        <f t="shared" si="73"/>
        <v>0</v>
      </c>
      <c r="CL201">
        <f t="shared" si="73"/>
        <v>0</v>
      </c>
      <c r="CM201">
        <f t="shared" si="73"/>
        <v>0</v>
      </c>
      <c r="CN201">
        <f t="shared" si="73"/>
        <v>0</v>
      </c>
      <c r="CO201">
        <f t="shared" si="73"/>
        <v>0</v>
      </c>
      <c r="CP201">
        <f t="shared" si="73"/>
        <v>0</v>
      </c>
      <c r="CQ201">
        <f t="shared" si="73"/>
        <v>0</v>
      </c>
      <c r="CR201">
        <f t="shared" si="73"/>
        <v>0</v>
      </c>
      <c r="CS201">
        <f t="shared" si="73"/>
        <v>0</v>
      </c>
      <c r="CT201">
        <f t="shared" si="73"/>
        <v>0</v>
      </c>
      <c r="CU201">
        <f t="shared" si="73"/>
        <v>0</v>
      </c>
      <c r="CV201">
        <f t="shared" si="73"/>
        <v>0</v>
      </c>
      <c r="CW201">
        <f t="shared" si="73"/>
        <v>0</v>
      </c>
      <c r="CX201">
        <f t="shared" si="73"/>
        <v>0</v>
      </c>
      <c r="CY201">
        <f t="shared" si="73"/>
        <v>0</v>
      </c>
      <c r="CZ201">
        <f t="shared" si="73"/>
        <v>0</v>
      </c>
      <c r="DA201">
        <f t="shared" si="73"/>
        <v>0</v>
      </c>
      <c r="DB201">
        <f t="shared" si="73"/>
        <v>0</v>
      </c>
    </row>
    <row r="202" spans="15:106">
      <c r="O202" t="s">
        <v>25</v>
      </c>
      <c r="P202">
        <f t="shared" ref="P202:R202" ca="1" si="74">ROUND(255*IF(P198&lt;0.0031308,12.92*P198,1.055*P198^(1/2.4)-0.055),0)</f>
        <v>245</v>
      </c>
      <c r="Q202">
        <f t="shared" ca="1" si="74"/>
        <v>232</v>
      </c>
      <c r="R202">
        <f t="shared" ca="1" si="74"/>
        <v>218</v>
      </c>
      <c r="S202">
        <f t="shared" ref="S202:AJ202" ca="1" si="75">ROUND(255*IF(S198&lt;0.0031308,12.92*S198,1.055*S198^(1/2.4)-0.055),0)</f>
        <v>225</v>
      </c>
      <c r="T202">
        <f t="shared" ca="1" si="75"/>
        <v>212</v>
      </c>
      <c r="U202">
        <f t="shared" ca="1" si="75"/>
        <v>189</v>
      </c>
      <c r="V202">
        <f t="shared" ca="1" si="75"/>
        <v>224</v>
      </c>
      <c r="W202">
        <f t="shared" ca="1" si="75"/>
        <v>224</v>
      </c>
      <c r="X202">
        <f t="shared" si="75"/>
        <v>0</v>
      </c>
      <c r="Y202">
        <f t="shared" si="75"/>
        <v>0</v>
      </c>
      <c r="Z202">
        <f t="shared" si="75"/>
        <v>0</v>
      </c>
      <c r="AA202">
        <f t="shared" si="75"/>
        <v>0</v>
      </c>
      <c r="AB202">
        <f t="shared" si="75"/>
        <v>0</v>
      </c>
      <c r="AC202">
        <f t="shared" si="75"/>
        <v>0</v>
      </c>
      <c r="AD202">
        <f t="shared" si="75"/>
        <v>0</v>
      </c>
      <c r="AE202">
        <f t="shared" si="75"/>
        <v>0</v>
      </c>
      <c r="AF202">
        <f t="shared" si="75"/>
        <v>0</v>
      </c>
      <c r="AG202">
        <f t="shared" si="75"/>
        <v>0</v>
      </c>
      <c r="AH202">
        <f t="shared" si="75"/>
        <v>0</v>
      </c>
      <c r="AI202">
        <f t="shared" si="75"/>
        <v>0</v>
      </c>
      <c r="AJ202">
        <f t="shared" si="75"/>
        <v>0</v>
      </c>
      <c r="AK202">
        <f t="shared" ref="AK202:CC202" si="76">ROUND(255*IF(AK198&lt;0.0031308,12.92*AK198,1.055*AK198^(1/2.4)-0.055),0)</f>
        <v>0</v>
      </c>
      <c r="AL202">
        <f t="shared" si="76"/>
        <v>0</v>
      </c>
      <c r="AM202">
        <f t="shared" si="76"/>
        <v>0</v>
      </c>
      <c r="AN202">
        <f t="shared" si="76"/>
        <v>0</v>
      </c>
      <c r="AO202">
        <f t="shared" si="76"/>
        <v>0</v>
      </c>
      <c r="AP202">
        <f t="shared" si="76"/>
        <v>0</v>
      </c>
      <c r="AQ202">
        <f t="shared" si="76"/>
        <v>0</v>
      </c>
      <c r="AR202">
        <f t="shared" si="76"/>
        <v>0</v>
      </c>
      <c r="AS202">
        <f t="shared" si="76"/>
        <v>0</v>
      </c>
      <c r="AT202">
        <f t="shared" si="76"/>
        <v>0</v>
      </c>
      <c r="AU202">
        <f t="shared" si="76"/>
        <v>0</v>
      </c>
      <c r="AV202">
        <f t="shared" si="76"/>
        <v>0</v>
      </c>
      <c r="AW202">
        <f t="shared" si="76"/>
        <v>0</v>
      </c>
      <c r="AX202">
        <f t="shared" si="76"/>
        <v>0</v>
      </c>
      <c r="AY202">
        <f t="shared" si="76"/>
        <v>0</v>
      </c>
      <c r="AZ202">
        <f t="shared" si="76"/>
        <v>0</v>
      </c>
      <c r="BA202">
        <f t="shared" si="76"/>
        <v>0</v>
      </c>
      <c r="BB202">
        <f t="shared" si="76"/>
        <v>0</v>
      </c>
      <c r="BC202">
        <f t="shared" si="76"/>
        <v>0</v>
      </c>
      <c r="BD202">
        <f t="shared" si="76"/>
        <v>0</v>
      </c>
      <c r="BE202">
        <f t="shared" si="76"/>
        <v>0</v>
      </c>
      <c r="BF202">
        <f t="shared" si="76"/>
        <v>0</v>
      </c>
      <c r="BG202">
        <f t="shared" si="76"/>
        <v>0</v>
      </c>
      <c r="BH202">
        <f t="shared" si="76"/>
        <v>0</v>
      </c>
      <c r="BI202">
        <f t="shared" si="76"/>
        <v>0</v>
      </c>
      <c r="BJ202">
        <f t="shared" si="76"/>
        <v>0</v>
      </c>
      <c r="BK202">
        <f t="shared" si="76"/>
        <v>0</v>
      </c>
      <c r="BL202">
        <f t="shared" si="76"/>
        <v>0</v>
      </c>
      <c r="BM202">
        <f t="shared" si="76"/>
        <v>0</v>
      </c>
      <c r="BN202">
        <f t="shared" si="76"/>
        <v>0</v>
      </c>
      <c r="BO202">
        <f t="shared" si="76"/>
        <v>0</v>
      </c>
      <c r="BP202">
        <f t="shared" si="76"/>
        <v>0</v>
      </c>
      <c r="BQ202">
        <f t="shared" si="76"/>
        <v>0</v>
      </c>
      <c r="BR202">
        <f t="shared" si="76"/>
        <v>0</v>
      </c>
      <c r="BS202">
        <f t="shared" si="76"/>
        <v>0</v>
      </c>
      <c r="BT202">
        <f t="shared" si="76"/>
        <v>0</v>
      </c>
      <c r="BU202">
        <f t="shared" si="76"/>
        <v>0</v>
      </c>
      <c r="BV202">
        <f t="shared" si="76"/>
        <v>0</v>
      </c>
      <c r="BW202">
        <f t="shared" si="76"/>
        <v>0</v>
      </c>
      <c r="BX202">
        <f t="shared" si="76"/>
        <v>0</v>
      </c>
      <c r="BY202">
        <f t="shared" si="76"/>
        <v>0</v>
      </c>
      <c r="BZ202">
        <f t="shared" si="76"/>
        <v>0</v>
      </c>
      <c r="CA202">
        <f t="shared" si="76"/>
        <v>0</v>
      </c>
      <c r="CB202">
        <f t="shared" si="76"/>
        <v>0</v>
      </c>
      <c r="CC202">
        <f t="shared" si="76"/>
        <v>0</v>
      </c>
      <c r="CD202">
        <f t="shared" ref="CD202:DB202" si="77">ROUND(255*IF(CD198&lt;0.0031308,12.92*CD198,1.055*CD198^(1/2.4)-0.055),0)</f>
        <v>0</v>
      </c>
      <c r="CE202">
        <f t="shared" si="77"/>
        <v>0</v>
      </c>
      <c r="CF202">
        <f t="shared" si="77"/>
        <v>0</v>
      </c>
      <c r="CG202">
        <f t="shared" si="77"/>
        <v>0</v>
      </c>
      <c r="CH202">
        <f t="shared" si="77"/>
        <v>0</v>
      </c>
      <c r="CI202">
        <f t="shared" si="77"/>
        <v>0</v>
      </c>
      <c r="CJ202">
        <f t="shared" si="77"/>
        <v>0</v>
      </c>
      <c r="CK202">
        <f t="shared" si="77"/>
        <v>0</v>
      </c>
      <c r="CL202">
        <f t="shared" si="77"/>
        <v>0</v>
      </c>
      <c r="CM202">
        <f t="shared" si="77"/>
        <v>0</v>
      </c>
      <c r="CN202">
        <f t="shared" si="77"/>
        <v>0</v>
      </c>
      <c r="CO202">
        <f t="shared" si="77"/>
        <v>0</v>
      </c>
      <c r="CP202">
        <f t="shared" si="77"/>
        <v>0</v>
      </c>
      <c r="CQ202">
        <f t="shared" si="77"/>
        <v>0</v>
      </c>
      <c r="CR202">
        <f t="shared" si="77"/>
        <v>0</v>
      </c>
      <c r="CS202">
        <f t="shared" si="77"/>
        <v>0</v>
      </c>
      <c r="CT202">
        <f t="shared" si="77"/>
        <v>0</v>
      </c>
      <c r="CU202">
        <f t="shared" si="77"/>
        <v>0</v>
      </c>
      <c r="CV202">
        <f t="shared" si="77"/>
        <v>0</v>
      </c>
      <c r="CW202">
        <f t="shared" si="77"/>
        <v>0</v>
      </c>
      <c r="CX202">
        <f t="shared" si="77"/>
        <v>0</v>
      </c>
      <c r="CY202">
        <f t="shared" si="77"/>
        <v>0</v>
      </c>
      <c r="CZ202">
        <f t="shared" si="77"/>
        <v>0</v>
      </c>
      <c r="DA202">
        <f t="shared" si="77"/>
        <v>0</v>
      </c>
      <c r="DB202">
        <f t="shared" si="77"/>
        <v>0</v>
      </c>
    </row>
    <row r="204" spans="15:106">
      <c r="O204" s="96" t="s">
        <v>26</v>
      </c>
      <c r="P204" s="97" t="str">
        <f ca="1">_xlfn.TEXTJOIN(",",,P200,P201,P202)</f>
        <v>187,222,245</v>
      </c>
      <c r="Q204" s="97" t="str">
        <f t="shared" ref="Q204:R204" ca="1" si="78">_xlfn.TEXTJOIN(",",,Q200,Q201,Q202)</f>
        <v>229,235,232</v>
      </c>
      <c r="R204" s="97" t="str">
        <f t="shared" ca="1" si="78"/>
        <v>206,217,218</v>
      </c>
      <c r="S204" s="97" t="str">
        <f t="shared" ref="S204:AJ204" ca="1" si="79">_xlfn.TEXTJOIN(",",,S200,S201,S202)</f>
        <v>174,216,225</v>
      </c>
      <c r="T204" s="97" t="str">
        <f t="shared" ca="1" si="79"/>
        <v>208,222,212</v>
      </c>
      <c r="U204" s="97" t="str">
        <f t="shared" ca="1" si="79"/>
        <v>220,212,189</v>
      </c>
      <c r="V204" s="97" t="str">
        <f t="shared" ca="1" si="79"/>
        <v>243,236,224</v>
      </c>
      <c r="W204" s="97" t="str">
        <f t="shared" ca="1" si="79"/>
        <v>242,235,224</v>
      </c>
      <c r="X204" s="97" t="e">
        <f t="shared" si="79"/>
        <v>#VALUE!</v>
      </c>
      <c r="Y204" s="97" t="e">
        <f t="shared" si="79"/>
        <v>#VALUE!</v>
      </c>
      <c r="Z204" s="97" t="e">
        <f t="shared" si="79"/>
        <v>#VALUE!</v>
      </c>
      <c r="AA204" s="97" t="e">
        <f t="shared" si="79"/>
        <v>#VALUE!</v>
      </c>
      <c r="AB204" s="97" t="e">
        <f t="shared" si="79"/>
        <v>#VALUE!</v>
      </c>
      <c r="AC204" s="97" t="e">
        <f t="shared" si="79"/>
        <v>#VALUE!</v>
      </c>
      <c r="AD204" s="97" t="e">
        <f t="shared" si="79"/>
        <v>#VALUE!</v>
      </c>
      <c r="AE204" s="97" t="e">
        <f t="shared" si="79"/>
        <v>#VALUE!</v>
      </c>
      <c r="AF204" s="97" t="e">
        <f t="shared" si="79"/>
        <v>#VALUE!</v>
      </c>
      <c r="AG204" s="97" t="e">
        <f t="shared" si="79"/>
        <v>#VALUE!</v>
      </c>
      <c r="AH204" s="97" t="e">
        <f t="shared" si="79"/>
        <v>#VALUE!</v>
      </c>
      <c r="AI204" s="97" t="e">
        <f t="shared" si="79"/>
        <v>#VALUE!</v>
      </c>
      <c r="AJ204" s="97" t="e">
        <f t="shared" si="79"/>
        <v>#VALUE!</v>
      </c>
      <c r="AK204" s="97" t="e">
        <f t="shared" ref="AK204:CC204" si="80">_xlfn.TEXTJOIN(",",,AK200,AK201,AK202)</f>
        <v>#VALUE!</v>
      </c>
      <c r="AL204" s="97" t="e">
        <f t="shared" si="80"/>
        <v>#VALUE!</v>
      </c>
      <c r="AM204" s="97" t="e">
        <f t="shared" si="80"/>
        <v>#VALUE!</v>
      </c>
      <c r="AN204" s="97" t="e">
        <f t="shared" si="80"/>
        <v>#VALUE!</v>
      </c>
      <c r="AO204" s="97" t="e">
        <f t="shared" si="80"/>
        <v>#VALUE!</v>
      </c>
      <c r="AP204" s="97" t="e">
        <f t="shared" si="80"/>
        <v>#VALUE!</v>
      </c>
      <c r="AQ204" s="97" t="e">
        <f t="shared" si="80"/>
        <v>#VALUE!</v>
      </c>
      <c r="AR204" s="97" t="e">
        <f t="shared" si="80"/>
        <v>#VALUE!</v>
      </c>
      <c r="AS204" s="97" t="e">
        <f t="shared" si="80"/>
        <v>#VALUE!</v>
      </c>
      <c r="AT204" s="97" t="e">
        <f t="shared" si="80"/>
        <v>#VALUE!</v>
      </c>
      <c r="AU204" s="97" t="e">
        <f t="shared" si="80"/>
        <v>#VALUE!</v>
      </c>
      <c r="AV204" s="97" t="e">
        <f t="shared" si="80"/>
        <v>#VALUE!</v>
      </c>
      <c r="AW204" s="97" t="e">
        <f t="shared" si="80"/>
        <v>#VALUE!</v>
      </c>
      <c r="AX204" s="97" t="e">
        <f t="shared" si="80"/>
        <v>#VALUE!</v>
      </c>
      <c r="AY204" s="97" t="e">
        <f t="shared" si="80"/>
        <v>#VALUE!</v>
      </c>
      <c r="AZ204" s="97" t="e">
        <f t="shared" si="80"/>
        <v>#VALUE!</v>
      </c>
      <c r="BA204" s="97" t="e">
        <f t="shared" si="80"/>
        <v>#VALUE!</v>
      </c>
      <c r="BB204" s="97" t="e">
        <f t="shared" si="80"/>
        <v>#VALUE!</v>
      </c>
      <c r="BC204" s="97" t="e">
        <f t="shared" si="80"/>
        <v>#VALUE!</v>
      </c>
      <c r="BD204" s="97" t="e">
        <f t="shared" si="80"/>
        <v>#VALUE!</v>
      </c>
      <c r="BE204" s="97" t="e">
        <f t="shared" si="80"/>
        <v>#VALUE!</v>
      </c>
      <c r="BF204" s="97" t="e">
        <f t="shared" si="80"/>
        <v>#VALUE!</v>
      </c>
      <c r="BG204" s="97" t="e">
        <f t="shared" si="80"/>
        <v>#VALUE!</v>
      </c>
      <c r="BH204" s="97" t="e">
        <f t="shared" si="80"/>
        <v>#VALUE!</v>
      </c>
      <c r="BI204" s="97" t="e">
        <f t="shared" si="80"/>
        <v>#VALUE!</v>
      </c>
      <c r="BJ204" s="97" t="e">
        <f t="shared" si="80"/>
        <v>#VALUE!</v>
      </c>
      <c r="BK204" s="97" t="e">
        <f t="shared" si="80"/>
        <v>#VALUE!</v>
      </c>
      <c r="BL204" s="97" t="e">
        <f t="shared" si="80"/>
        <v>#VALUE!</v>
      </c>
      <c r="BM204" s="97" t="e">
        <f t="shared" si="80"/>
        <v>#VALUE!</v>
      </c>
      <c r="BN204" s="97" t="e">
        <f t="shared" si="80"/>
        <v>#VALUE!</v>
      </c>
      <c r="BO204" s="97" t="e">
        <f t="shared" si="80"/>
        <v>#VALUE!</v>
      </c>
      <c r="BP204" s="97" t="e">
        <f t="shared" si="80"/>
        <v>#VALUE!</v>
      </c>
      <c r="BQ204" s="97" t="e">
        <f t="shared" si="80"/>
        <v>#VALUE!</v>
      </c>
      <c r="BR204" s="97" t="e">
        <f t="shared" si="80"/>
        <v>#VALUE!</v>
      </c>
      <c r="BS204" s="97" t="e">
        <f t="shared" si="80"/>
        <v>#VALUE!</v>
      </c>
      <c r="BT204" s="97" t="e">
        <f t="shared" si="80"/>
        <v>#VALUE!</v>
      </c>
      <c r="BU204" s="97" t="e">
        <f t="shared" si="80"/>
        <v>#VALUE!</v>
      </c>
      <c r="BV204" s="97" t="e">
        <f t="shared" si="80"/>
        <v>#VALUE!</v>
      </c>
      <c r="BW204" s="97" t="e">
        <f t="shared" si="80"/>
        <v>#VALUE!</v>
      </c>
      <c r="BX204" s="97" t="e">
        <f t="shared" si="80"/>
        <v>#VALUE!</v>
      </c>
      <c r="BY204" s="97" t="e">
        <f t="shared" si="80"/>
        <v>#VALUE!</v>
      </c>
      <c r="BZ204" s="97" t="e">
        <f t="shared" si="80"/>
        <v>#VALUE!</v>
      </c>
      <c r="CA204" s="97" t="e">
        <f t="shared" si="80"/>
        <v>#VALUE!</v>
      </c>
      <c r="CB204" s="97" t="e">
        <f t="shared" si="80"/>
        <v>#VALUE!</v>
      </c>
      <c r="CC204" s="97" t="e">
        <f t="shared" si="80"/>
        <v>#VALUE!</v>
      </c>
      <c r="CD204" s="97" t="e">
        <f t="shared" ref="CD204:DB204" si="81">_xlfn.TEXTJOIN(",",,CD200,CD201,CD202)</f>
        <v>#VALUE!</v>
      </c>
      <c r="CE204" s="97" t="e">
        <f t="shared" si="81"/>
        <v>#VALUE!</v>
      </c>
      <c r="CF204" s="97" t="e">
        <f t="shared" si="81"/>
        <v>#VALUE!</v>
      </c>
      <c r="CG204" s="97" t="e">
        <f t="shared" si="81"/>
        <v>#VALUE!</v>
      </c>
      <c r="CH204" s="97" t="e">
        <f t="shared" si="81"/>
        <v>#VALUE!</v>
      </c>
      <c r="CI204" s="97" t="e">
        <f t="shared" si="81"/>
        <v>#VALUE!</v>
      </c>
      <c r="CJ204" s="97" t="e">
        <f t="shared" si="81"/>
        <v>#VALUE!</v>
      </c>
      <c r="CK204" s="97" t="e">
        <f t="shared" si="81"/>
        <v>#VALUE!</v>
      </c>
      <c r="CL204" s="97" t="e">
        <f t="shared" si="81"/>
        <v>#VALUE!</v>
      </c>
      <c r="CM204" s="97" t="e">
        <f t="shared" si="81"/>
        <v>#VALUE!</v>
      </c>
      <c r="CN204" s="97" t="e">
        <f t="shared" si="81"/>
        <v>#VALUE!</v>
      </c>
      <c r="CO204" s="97" t="e">
        <f t="shared" si="81"/>
        <v>#VALUE!</v>
      </c>
      <c r="CP204" s="97" t="e">
        <f t="shared" si="81"/>
        <v>#VALUE!</v>
      </c>
      <c r="CQ204" s="97" t="e">
        <f t="shared" si="81"/>
        <v>#VALUE!</v>
      </c>
      <c r="CR204" s="97" t="e">
        <f t="shared" si="81"/>
        <v>#VALUE!</v>
      </c>
      <c r="CS204" s="97" t="e">
        <f t="shared" si="81"/>
        <v>#VALUE!</v>
      </c>
      <c r="CT204" s="97" t="e">
        <f t="shared" si="81"/>
        <v>#VALUE!</v>
      </c>
      <c r="CU204" s="97" t="e">
        <f t="shared" si="81"/>
        <v>#VALUE!</v>
      </c>
      <c r="CV204" s="97" t="e">
        <f t="shared" si="81"/>
        <v>#VALUE!</v>
      </c>
      <c r="CW204" s="97" t="e">
        <f t="shared" si="81"/>
        <v>#VALUE!</v>
      </c>
      <c r="CX204" s="97" t="e">
        <f t="shared" si="81"/>
        <v>#VALUE!</v>
      </c>
      <c r="CY204" s="97" t="e">
        <f t="shared" si="81"/>
        <v>#VALUE!</v>
      </c>
      <c r="CZ204" s="97" t="e">
        <f t="shared" si="81"/>
        <v>#VALUE!</v>
      </c>
      <c r="DA204" s="97" t="e">
        <f t="shared" si="81"/>
        <v>#VALUE!</v>
      </c>
      <c r="DB204" s="97" t="e">
        <f t="shared" si="81"/>
        <v>#VALUE!</v>
      </c>
    </row>
  </sheetData>
  <sheetProtection algorithmName="SHA-512" hashValue="zLyNfzO9ix5TGE3Z62tmztxEDWuE5ROCJn/QxC82u7BnoYmM3ajRjPmfrjzwfr70DP6DBDYJSXvp/hnRpVAtcA==" saltValue="r6JufK8RwEFAMxITnN1s0w==" spinCount="100000" sheet="1" objects="1" scenario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X473"/>
  <sheetViews>
    <sheetView workbookViewId="0">
      <selection activeCell="A2" sqref="A2"/>
    </sheetView>
  </sheetViews>
  <sheetFormatPr defaultRowHeight="14.25"/>
  <cols>
    <col min="1" max="1" width="8.625" style="2"/>
    <col min="6" max="6" width="8.625" style="2"/>
    <col min="11" max="11" width="8.625" style="2"/>
    <col min="16" max="16" width="8.625" style="2"/>
  </cols>
  <sheetData>
    <row r="1" spans="1:24">
      <c r="A1" s="2" t="s">
        <v>3</v>
      </c>
      <c r="B1" s="2"/>
      <c r="C1" s="2"/>
      <c r="D1" s="2"/>
      <c r="E1" s="2"/>
      <c r="F1" s="2" t="s">
        <v>11</v>
      </c>
      <c r="G1" s="2" t="s">
        <v>8</v>
      </c>
      <c r="H1" s="2" t="s">
        <v>9</v>
      </c>
      <c r="I1" s="2" t="s">
        <v>10</v>
      </c>
      <c r="J1" s="2"/>
      <c r="K1" s="2" t="s">
        <v>11</v>
      </c>
      <c r="L1" s="2" t="s">
        <v>8</v>
      </c>
      <c r="M1" s="2" t="s">
        <v>9</v>
      </c>
      <c r="N1" s="2" t="s">
        <v>10</v>
      </c>
      <c r="P1" s="2" t="s">
        <v>11</v>
      </c>
      <c r="Q1" s="2" t="s">
        <v>8</v>
      </c>
      <c r="R1" s="2" t="s">
        <v>9</v>
      </c>
      <c r="S1" s="2" t="s">
        <v>10</v>
      </c>
      <c r="U1" s="2" t="s">
        <v>3</v>
      </c>
      <c r="V1" s="2"/>
      <c r="W1" s="2"/>
      <c r="X1" s="2"/>
    </row>
    <row r="2" spans="1:24">
      <c r="B2" t="s">
        <v>4</v>
      </c>
      <c r="C2" t="s">
        <v>5</v>
      </c>
      <c r="D2" t="s">
        <v>2</v>
      </c>
      <c r="F2" s="2" t="s">
        <v>12</v>
      </c>
      <c r="G2" t="s">
        <v>6</v>
      </c>
      <c r="K2" s="2" t="s">
        <v>13</v>
      </c>
      <c r="L2" t="s">
        <v>7</v>
      </c>
      <c r="P2" s="2" t="s">
        <v>12</v>
      </c>
      <c r="Q2" t="s">
        <v>6</v>
      </c>
      <c r="U2" s="2"/>
      <c r="V2" t="s">
        <v>4</v>
      </c>
      <c r="W2" t="s">
        <v>5</v>
      </c>
      <c r="X2" t="s">
        <v>2</v>
      </c>
    </row>
    <row r="3" spans="1:24">
      <c r="A3" s="2">
        <v>380</v>
      </c>
      <c r="B3" s="10" cm="1">
        <f t="array" ref="B3:D83">V11:X91</f>
        <v>9.7950999999999997</v>
      </c>
      <c r="C3" s="10">
        <v>24.704470000000001</v>
      </c>
      <c r="D3" s="10">
        <v>49.975499999999997</v>
      </c>
      <c r="F3" s="2">
        <v>380</v>
      </c>
      <c r="G3" s="10" cm="1">
        <f t="array" aca="1" ref="G3:I3" ca="1">OFFSET($P$3,MATCH($F3,$P:$P,0)-3,1,1,3)</f>
        <v>1.3699999999999999E-3</v>
      </c>
      <c r="H3" s="10">
        <f ca="1"/>
        <v>3.8999999999999999E-5</v>
      </c>
      <c r="I3" s="10">
        <f ca="1"/>
        <v>6.45E-3</v>
      </c>
      <c r="J3" s="3"/>
      <c r="K3" s="2">
        <v>380</v>
      </c>
      <c r="L3" s="10">
        <v>1.6000000000000001E-4</v>
      </c>
      <c r="M3" s="10">
        <v>1.7E-5</v>
      </c>
      <c r="N3" s="10">
        <v>7.0500000000000001E-4</v>
      </c>
      <c r="P3" s="2">
        <v>360</v>
      </c>
      <c r="Q3" s="3">
        <v>1.2990000000000001E-4</v>
      </c>
      <c r="R3" s="3">
        <v>3.9169999999999999E-6</v>
      </c>
      <c r="S3" s="3">
        <v>6.0610000000000004E-4</v>
      </c>
      <c r="U3" s="2">
        <v>340</v>
      </c>
      <c r="V3" s="10">
        <v>3.58968</v>
      </c>
      <c r="W3" s="10">
        <v>18.280100000000001</v>
      </c>
      <c r="X3" s="10">
        <v>39.948799999999999</v>
      </c>
    </row>
    <row r="4" spans="1:24">
      <c r="A4" s="2">
        <v>385</v>
      </c>
      <c r="B4" s="10">
        <v>10.89958</v>
      </c>
      <c r="C4" s="10">
        <v>27.369150000000001</v>
      </c>
      <c r="D4" s="10">
        <v>52.311799999999998</v>
      </c>
      <c r="F4" s="2">
        <v>385</v>
      </c>
      <c r="G4" s="10" cm="1">
        <f t="array" aca="1" ref="G4:I4" ca="1">OFFSET($P$3,MATCH($F4,$P:$P,0)-3,1,1,3)</f>
        <v>2.2399999999999998E-3</v>
      </c>
      <c r="H4" s="10">
        <f ca="1"/>
        <v>6.3999999999999997E-5</v>
      </c>
      <c r="I4" s="10">
        <f ca="1"/>
        <v>1.055E-2</v>
      </c>
      <c r="J4" s="3"/>
      <c r="K4" s="2">
        <v>385</v>
      </c>
      <c r="L4" s="10">
        <v>6.6200000000000005E-4</v>
      </c>
      <c r="M4" s="10">
        <v>7.2000000000000002E-5</v>
      </c>
      <c r="N4" s="10">
        <v>2.9299999999999999E-3</v>
      </c>
      <c r="P4" s="2">
        <v>361</v>
      </c>
      <c r="Q4" s="3">
        <v>1.45847E-4</v>
      </c>
      <c r="R4" s="3">
        <v>4.39358E-6</v>
      </c>
      <c r="S4" s="3">
        <v>6.8087900000000001E-4</v>
      </c>
      <c r="U4" s="2">
        <v>345</v>
      </c>
      <c r="V4" s="10">
        <v>4.1364799999999997</v>
      </c>
      <c r="W4" s="10">
        <v>19.800650000000001</v>
      </c>
      <c r="X4" s="10">
        <v>42.430199999999999</v>
      </c>
    </row>
    <row r="5" spans="1:24">
      <c r="A5" s="2">
        <v>390</v>
      </c>
      <c r="B5" s="10">
        <v>12.08535</v>
      </c>
      <c r="C5" s="10">
        <v>30.033819999999999</v>
      </c>
      <c r="D5" s="10">
        <v>54.648200000000003</v>
      </c>
      <c r="F5" s="2">
        <v>390</v>
      </c>
      <c r="G5" s="10" cm="1">
        <f t="array" aca="1" ref="G5:I5" ca="1">OFFSET($P$3,MATCH($F5,$P:$P,0)-3,1,1,3)</f>
        <v>4.2399999999999998E-3</v>
      </c>
      <c r="H5" s="10">
        <f ca="1"/>
        <v>1.2E-4</v>
      </c>
      <c r="I5" s="10">
        <f ca="1"/>
        <v>2.0049999999999998E-2</v>
      </c>
      <c r="J5" s="3"/>
      <c r="K5" s="2">
        <v>390</v>
      </c>
      <c r="L5" s="10">
        <v>2.3600000000000001E-3</v>
      </c>
      <c r="M5" s="10">
        <v>2.5300000000000002E-4</v>
      </c>
      <c r="N5" s="10">
        <v>1.048E-2</v>
      </c>
      <c r="P5" s="2">
        <v>362</v>
      </c>
      <c r="Q5" s="3">
        <v>1.63802E-4</v>
      </c>
      <c r="R5" s="3">
        <v>4.9296000000000002E-6</v>
      </c>
      <c r="S5" s="3">
        <v>7.6514599999999997E-4</v>
      </c>
      <c r="U5" s="2">
        <v>350</v>
      </c>
      <c r="V5" s="10">
        <v>4.7423799999999998</v>
      </c>
      <c r="W5" s="10">
        <v>21.321190000000001</v>
      </c>
      <c r="X5" s="10">
        <v>44.911700000000003</v>
      </c>
    </row>
    <row r="6" spans="1:24">
      <c r="A6" s="2">
        <v>395</v>
      </c>
      <c r="B6" s="10">
        <v>13.354290000000001</v>
      </c>
      <c r="C6" s="10">
        <v>39.74333</v>
      </c>
      <c r="D6" s="10">
        <v>68.701499999999996</v>
      </c>
      <c r="F6" s="2">
        <v>395</v>
      </c>
      <c r="G6" s="10" cm="1">
        <f t="array" aca="1" ref="G6:I6" ca="1">OFFSET($P$3,MATCH($F6,$P:$P,0)-3,1,1,3)</f>
        <v>7.6499999999999997E-3</v>
      </c>
      <c r="H6" s="10">
        <f ca="1"/>
        <v>2.1699999999999999E-4</v>
      </c>
      <c r="I6" s="10">
        <f ca="1"/>
        <v>3.6209999999999999E-2</v>
      </c>
      <c r="J6" s="3"/>
      <c r="K6" s="2">
        <v>395</v>
      </c>
      <c r="L6" s="10">
        <v>7.2399999999999999E-3</v>
      </c>
      <c r="M6" s="10">
        <v>7.6900000000000004E-4</v>
      </c>
      <c r="N6" s="10">
        <v>3.2340000000000001E-2</v>
      </c>
      <c r="P6" s="2">
        <v>363</v>
      </c>
      <c r="Q6" s="3">
        <v>1.8400400000000001E-4</v>
      </c>
      <c r="R6" s="3">
        <v>5.5321400000000002E-6</v>
      </c>
      <c r="S6" s="3">
        <v>8.6001199999999995E-4</v>
      </c>
      <c r="U6" s="2">
        <v>355</v>
      </c>
      <c r="V6" s="10">
        <v>5.4107000000000003</v>
      </c>
      <c r="W6" s="10">
        <v>22.764679999999998</v>
      </c>
      <c r="X6" s="10">
        <v>45.774999999999999</v>
      </c>
    </row>
    <row r="7" spans="1:24">
      <c r="A7" s="2">
        <v>400</v>
      </c>
      <c r="B7" s="10">
        <v>14.70804</v>
      </c>
      <c r="C7" s="10">
        <v>49.452840000000002</v>
      </c>
      <c r="D7" s="10">
        <v>82.754900000000006</v>
      </c>
      <c r="F7" s="2">
        <v>400</v>
      </c>
      <c r="G7" s="10" cm="1">
        <f t="array" aca="1" ref="G7:I7" ca="1">OFFSET($P$3,MATCH($F7,$P:$P,0)-3,1,1,3)</f>
        <v>1.431E-2</v>
      </c>
      <c r="H7" s="10">
        <f ca="1"/>
        <v>3.9599999999999998E-4</v>
      </c>
      <c r="I7" s="10">
        <f ca="1"/>
        <v>6.7849999999999994E-2</v>
      </c>
      <c r="J7" s="3"/>
      <c r="K7" s="2">
        <v>400</v>
      </c>
      <c r="L7" s="10">
        <v>1.9109999999999999E-2</v>
      </c>
      <c r="M7" s="10">
        <v>2E-3</v>
      </c>
      <c r="N7" s="10">
        <v>8.6010000000000003E-2</v>
      </c>
      <c r="P7" s="2">
        <v>364</v>
      </c>
      <c r="Q7" s="3">
        <v>2.0668999999999999E-4</v>
      </c>
      <c r="R7" s="3">
        <v>6.2082500000000002E-6</v>
      </c>
      <c r="S7" s="3">
        <v>9.6659299999999997E-4</v>
      </c>
      <c r="U7" s="2">
        <v>360</v>
      </c>
      <c r="V7" s="10">
        <v>6.1446199999999997</v>
      </c>
      <c r="W7" s="10">
        <v>24.208159999999999</v>
      </c>
      <c r="X7" s="10">
        <v>46.638300000000001</v>
      </c>
    </row>
    <row r="8" spans="1:24">
      <c r="A8" s="2">
        <v>405</v>
      </c>
      <c r="B8" s="10">
        <v>16.14798</v>
      </c>
      <c r="C8" s="10">
        <v>53.067529999999998</v>
      </c>
      <c r="D8" s="10">
        <v>87.120400000000004</v>
      </c>
      <c r="F8" s="2">
        <v>405</v>
      </c>
      <c r="G8" s="10" cm="1">
        <f t="array" aca="1" ref="G8:I8" ca="1">OFFSET($P$3,MATCH($F8,$P:$P,0)-3,1,1,3)</f>
        <v>2.3189999999999999E-2</v>
      </c>
      <c r="H8" s="10">
        <f ca="1"/>
        <v>6.4000000000000005E-4</v>
      </c>
      <c r="I8" s="10">
        <f ca="1"/>
        <v>0.11020000000000001</v>
      </c>
      <c r="K8" s="2">
        <v>405</v>
      </c>
      <c r="L8" s="10">
        <v>4.3400000000000001E-2</v>
      </c>
      <c r="M8" s="10">
        <v>4.5100000000000001E-3</v>
      </c>
      <c r="N8" s="10">
        <v>0.19711999999999999</v>
      </c>
      <c r="P8" s="2">
        <v>365</v>
      </c>
      <c r="Q8" s="3">
        <v>2.321E-4</v>
      </c>
      <c r="R8" s="3">
        <v>6.9650000000000002E-6</v>
      </c>
      <c r="S8">
        <v>1.09E-3</v>
      </c>
      <c r="U8" s="2">
        <v>365</v>
      </c>
      <c r="V8" s="10">
        <v>6.9471999999999996</v>
      </c>
      <c r="W8" s="10">
        <v>25.735060000000001</v>
      </c>
      <c r="X8" s="10">
        <v>49.363700000000001</v>
      </c>
    </row>
    <row r="9" spans="1:24">
      <c r="A9" s="2">
        <v>410</v>
      </c>
      <c r="B9" s="10">
        <v>17.675249999999998</v>
      </c>
      <c r="C9" s="10">
        <v>56.682209999999998</v>
      </c>
      <c r="D9" s="10">
        <v>91.486000000000004</v>
      </c>
      <c r="F9" s="2">
        <v>410</v>
      </c>
      <c r="G9" s="10" cm="1">
        <f t="array" aca="1" ref="G9:I9" ca="1">OFFSET($P$3,MATCH($F9,$P:$P,0)-3,1,1,3)</f>
        <v>4.351E-2</v>
      </c>
      <c r="H9" s="10">
        <f ca="1"/>
        <v>1.2099999999999999E-3</v>
      </c>
      <c r="I9" s="10">
        <f ca="1"/>
        <v>0.2074</v>
      </c>
      <c r="K9" s="2">
        <v>410</v>
      </c>
      <c r="L9" s="10">
        <v>8.4739999999999996E-2</v>
      </c>
      <c r="M9" s="10">
        <v>8.7600000000000004E-3</v>
      </c>
      <c r="N9" s="10">
        <v>0.38936999999999999</v>
      </c>
      <c r="P9" s="2">
        <v>366</v>
      </c>
      <c r="Q9" s="3">
        <v>2.60728E-4</v>
      </c>
      <c r="R9" s="3">
        <v>7.8132199999999997E-6</v>
      </c>
      <c r="S9">
        <v>1.2199999999999999E-3</v>
      </c>
      <c r="U9" s="2">
        <v>370</v>
      </c>
      <c r="V9" s="10">
        <v>7.8213499999999998</v>
      </c>
      <c r="W9" s="10">
        <v>27.261949999999999</v>
      </c>
      <c r="X9" s="10">
        <v>52.089100000000002</v>
      </c>
    </row>
    <row r="10" spans="1:24">
      <c r="A10" s="2">
        <v>415</v>
      </c>
      <c r="B10" s="10">
        <v>19.290710000000001</v>
      </c>
      <c r="C10" s="10">
        <v>58.435809999999996</v>
      </c>
      <c r="D10" s="10">
        <v>92.4589</v>
      </c>
      <c r="F10" s="2">
        <v>415</v>
      </c>
      <c r="G10" s="10" cm="1">
        <f t="array" aca="1" ref="G10:I10" ca="1">OFFSET($P$3,MATCH($F10,$P:$P,0)-3,1,1,3)</f>
        <v>7.7630000000000005E-2</v>
      </c>
      <c r="H10" s="10">
        <f ca="1"/>
        <v>2.1800000000000001E-3</v>
      </c>
      <c r="I10" s="10">
        <f ca="1"/>
        <v>0.37130000000000002</v>
      </c>
      <c r="K10" s="2">
        <v>415</v>
      </c>
      <c r="L10" s="10">
        <v>0.14063999999999999</v>
      </c>
      <c r="M10" s="10">
        <v>1.4460000000000001E-2</v>
      </c>
      <c r="N10" s="10">
        <v>0.65676000000000001</v>
      </c>
      <c r="P10" s="2">
        <v>367</v>
      </c>
      <c r="Q10" s="3">
        <v>2.9307500000000001E-4</v>
      </c>
      <c r="R10" s="3">
        <v>8.7673399999999993E-6</v>
      </c>
      <c r="S10">
        <v>1.3699999999999999E-3</v>
      </c>
      <c r="U10" s="2">
        <v>375</v>
      </c>
      <c r="V10" s="10">
        <v>8.7698</v>
      </c>
      <c r="W10" s="10">
        <v>25.98321</v>
      </c>
      <c r="X10" s="10">
        <v>51.032299999999999</v>
      </c>
    </row>
    <row r="11" spans="1:24">
      <c r="A11" s="2">
        <v>420</v>
      </c>
      <c r="B11" s="10">
        <v>20.994959999999999</v>
      </c>
      <c r="C11" s="10">
        <v>60.189399999999999</v>
      </c>
      <c r="D11" s="10">
        <v>93.431799999999996</v>
      </c>
      <c r="F11" s="2">
        <v>420</v>
      </c>
      <c r="G11" s="10" cm="1">
        <f t="array" aca="1" ref="G11:I11" ca="1">OFFSET($P$3,MATCH($F11,$P:$P,0)-3,1,1,3)</f>
        <v>0.13438</v>
      </c>
      <c r="H11" s="10">
        <f ca="1"/>
        <v>4.0000000000000001E-3</v>
      </c>
      <c r="I11" s="10">
        <f ca="1"/>
        <v>0.64559999999999995</v>
      </c>
      <c r="K11" s="2">
        <v>420</v>
      </c>
      <c r="L11" s="10">
        <v>0.20449000000000001</v>
      </c>
      <c r="M11" s="10">
        <v>2.1389999999999999E-2</v>
      </c>
      <c r="N11" s="10">
        <v>0.97253999999999996</v>
      </c>
      <c r="P11" s="2">
        <v>368</v>
      </c>
      <c r="Q11" s="3">
        <v>3.2938800000000001E-4</v>
      </c>
      <c r="R11" s="3">
        <v>9.8398399999999996E-6</v>
      </c>
      <c r="S11">
        <v>1.5399999999999999E-3</v>
      </c>
      <c r="U11" s="2">
        <v>380</v>
      </c>
      <c r="V11" s="10">
        <v>9.7950999999999997</v>
      </c>
      <c r="W11" s="10">
        <v>24.704470000000001</v>
      </c>
      <c r="X11" s="10">
        <v>49.975499999999997</v>
      </c>
    </row>
    <row r="12" spans="1:24">
      <c r="A12" s="2">
        <v>425</v>
      </c>
      <c r="B12" s="10">
        <v>22.788340000000002</v>
      </c>
      <c r="C12" s="10">
        <v>59.062420000000003</v>
      </c>
      <c r="D12" s="10">
        <v>90.057000000000002</v>
      </c>
      <c r="F12" s="2">
        <v>425</v>
      </c>
      <c r="G12" s="10" cm="1">
        <f t="array" aca="1" ref="G12:I12" ca="1">OFFSET($P$3,MATCH($F12,$P:$P,0)-3,1,1,3)</f>
        <v>0.21476999999999999</v>
      </c>
      <c r="H12" s="10">
        <f ca="1"/>
        <v>7.3000000000000001E-3</v>
      </c>
      <c r="I12" s="10">
        <f ca="1"/>
        <v>1.03905</v>
      </c>
      <c r="K12" s="2">
        <v>425</v>
      </c>
      <c r="L12" s="10">
        <v>0.26473999999999998</v>
      </c>
      <c r="M12" s="10">
        <v>2.9499999999999998E-2</v>
      </c>
      <c r="N12" s="10">
        <v>1.2825</v>
      </c>
      <c r="P12" s="2">
        <v>369</v>
      </c>
      <c r="Q12" s="3">
        <v>3.69914E-4</v>
      </c>
      <c r="R12" s="3">
        <v>1.10432E-5</v>
      </c>
      <c r="S12">
        <v>1.73E-3</v>
      </c>
      <c r="U12" s="2">
        <v>385</v>
      </c>
      <c r="V12" s="10">
        <v>10.89958</v>
      </c>
      <c r="W12" s="10">
        <v>27.369150000000001</v>
      </c>
      <c r="X12" s="10">
        <v>52.311799999999998</v>
      </c>
    </row>
    <row r="13" spans="1:24">
      <c r="A13" s="2">
        <v>430</v>
      </c>
      <c r="B13" s="10">
        <v>24.670919999999999</v>
      </c>
      <c r="C13" s="10">
        <v>57.93544</v>
      </c>
      <c r="D13" s="10">
        <v>86.682299999999998</v>
      </c>
      <c r="F13" s="2">
        <v>430</v>
      </c>
      <c r="G13" s="10" cm="1">
        <f t="array" aca="1" ref="G13:I13" ca="1">OFFSET($P$3,MATCH($F13,$P:$P,0)-3,1,1,3)</f>
        <v>0.28389999999999999</v>
      </c>
      <c r="H13" s="10">
        <f ca="1"/>
        <v>1.1599999999999999E-2</v>
      </c>
      <c r="I13" s="10">
        <f ca="1"/>
        <v>1.3855999999999999</v>
      </c>
      <c r="K13" s="2">
        <v>430</v>
      </c>
      <c r="L13" s="10">
        <v>0.31468000000000002</v>
      </c>
      <c r="M13" s="10">
        <v>3.8679999999999999E-2</v>
      </c>
      <c r="N13" s="10">
        <v>1.55348</v>
      </c>
      <c r="P13" s="2">
        <v>370</v>
      </c>
      <c r="Q13" s="3">
        <v>4.149E-4</v>
      </c>
      <c r="R13" s="3">
        <v>1.239E-5</v>
      </c>
      <c r="S13">
        <v>1.9499999999999999E-3</v>
      </c>
      <c r="U13" s="2">
        <v>390</v>
      </c>
      <c r="V13" s="10">
        <v>12.08535</v>
      </c>
      <c r="W13" s="10">
        <v>30.033819999999999</v>
      </c>
      <c r="X13" s="10">
        <v>54.648200000000003</v>
      </c>
    </row>
    <row r="14" spans="1:24">
      <c r="A14" s="2">
        <v>435</v>
      </c>
      <c r="B14" s="10">
        <v>26.642530000000001</v>
      </c>
      <c r="C14" s="10">
        <v>66.42277</v>
      </c>
      <c r="D14" s="10">
        <v>95.773600000000002</v>
      </c>
      <c r="F14" s="2">
        <v>435</v>
      </c>
      <c r="G14" s="10" cm="1">
        <f t="array" aca="1" ref="G14:I14" ca="1">OFFSET($P$3,MATCH($F14,$P:$P,0)-3,1,1,3)</f>
        <v>0.32850000000000001</v>
      </c>
      <c r="H14" s="10">
        <f ca="1"/>
        <v>1.6840000000000001E-2</v>
      </c>
      <c r="I14" s="10">
        <f ca="1"/>
        <v>1.62296</v>
      </c>
      <c r="K14" s="2">
        <v>435</v>
      </c>
      <c r="L14" s="10">
        <v>0.35771999999999998</v>
      </c>
      <c r="M14" s="10">
        <v>4.9599999999999998E-2</v>
      </c>
      <c r="N14" s="10">
        <v>1.7985</v>
      </c>
      <c r="P14" s="2">
        <v>371</v>
      </c>
      <c r="Q14" s="3">
        <v>4.6415900000000001E-4</v>
      </c>
      <c r="R14" s="3">
        <v>1.38864E-5</v>
      </c>
      <c r="S14">
        <v>2.1800000000000001E-3</v>
      </c>
      <c r="U14" s="2">
        <v>395</v>
      </c>
      <c r="V14" s="10">
        <v>13.354290000000001</v>
      </c>
      <c r="W14" s="10">
        <v>39.74333</v>
      </c>
      <c r="X14" s="10">
        <v>68.701499999999996</v>
      </c>
    </row>
    <row r="15" spans="1:24">
      <c r="A15" s="2">
        <v>440</v>
      </c>
      <c r="B15" s="10">
        <v>28.702729999999999</v>
      </c>
      <c r="C15" s="10">
        <v>74.910089999999997</v>
      </c>
      <c r="D15" s="10">
        <v>104.86499999999999</v>
      </c>
      <c r="F15" s="2">
        <v>440</v>
      </c>
      <c r="G15" s="10" cm="1">
        <f t="array" aca="1" ref="G15:I15" ca="1">OFFSET($P$3,MATCH($F15,$P:$P,0)-3,1,1,3)</f>
        <v>0.34827999999999998</v>
      </c>
      <c r="H15" s="10">
        <f ca="1"/>
        <v>2.3E-2</v>
      </c>
      <c r="I15" s="10">
        <f ca="1"/>
        <v>1.7470600000000001</v>
      </c>
      <c r="K15" s="2">
        <v>440</v>
      </c>
      <c r="L15" s="10">
        <v>0.38373000000000002</v>
      </c>
      <c r="M15" s="10">
        <v>6.2080000000000003E-2</v>
      </c>
      <c r="N15" s="10">
        <v>1.9672799999999999</v>
      </c>
      <c r="P15" s="2">
        <v>372</v>
      </c>
      <c r="Q15" s="3">
        <v>5.1898600000000003E-4</v>
      </c>
      <c r="R15" s="3">
        <v>1.5557300000000001E-5</v>
      </c>
      <c r="S15">
        <v>2.4399999999999999E-3</v>
      </c>
      <c r="U15" s="2">
        <v>400</v>
      </c>
      <c r="V15" s="10">
        <v>14.70804</v>
      </c>
      <c r="W15" s="10">
        <v>49.452840000000002</v>
      </c>
      <c r="X15" s="10">
        <v>82.754900000000006</v>
      </c>
    </row>
    <row r="16" spans="1:24">
      <c r="A16" s="2">
        <v>445</v>
      </c>
      <c r="B16" s="10">
        <v>30.850829999999998</v>
      </c>
      <c r="C16" s="10">
        <v>81.116339999999994</v>
      </c>
      <c r="D16" s="10">
        <v>110.93600000000001</v>
      </c>
      <c r="F16" s="2">
        <v>445</v>
      </c>
      <c r="G16" s="10" cm="1">
        <f t="array" aca="1" ref="G16:I16" ca="1">OFFSET($P$3,MATCH($F16,$P:$P,0)-3,1,1,3)</f>
        <v>0.34805999999999998</v>
      </c>
      <c r="H16" s="10">
        <f ca="1"/>
        <v>2.98E-2</v>
      </c>
      <c r="I16" s="10">
        <f ca="1"/>
        <v>1.7826</v>
      </c>
      <c r="K16" s="2">
        <v>445</v>
      </c>
      <c r="L16" s="10">
        <v>0.38673000000000002</v>
      </c>
      <c r="M16" s="10">
        <v>7.4700000000000003E-2</v>
      </c>
      <c r="N16" s="10">
        <v>2.0272999999999999</v>
      </c>
      <c r="P16" s="2">
        <v>373</v>
      </c>
      <c r="Q16" s="3">
        <v>5.8185400000000003E-4</v>
      </c>
      <c r="R16" s="3">
        <v>1.7442999999999999E-5</v>
      </c>
      <c r="S16">
        <v>2.7299999999999998E-3</v>
      </c>
      <c r="U16" s="2">
        <v>405</v>
      </c>
      <c r="V16" s="10">
        <v>16.14798</v>
      </c>
      <c r="W16" s="10">
        <v>53.067529999999998</v>
      </c>
      <c r="X16" s="10">
        <v>87.120400000000004</v>
      </c>
    </row>
    <row r="17" spans="1:24">
      <c r="A17" s="2">
        <v>450</v>
      </c>
      <c r="B17" s="10">
        <v>33.085889999999999</v>
      </c>
      <c r="C17" s="10">
        <v>87.322590000000005</v>
      </c>
      <c r="D17" s="10">
        <v>117.008</v>
      </c>
      <c r="F17" s="2">
        <v>450</v>
      </c>
      <c r="G17" s="10" cm="1">
        <f t="array" aca="1" ref="G17:I17" ca="1">OFFSET($P$3,MATCH($F17,$P:$P,0)-3,1,1,3)</f>
        <v>0.3362</v>
      </c>
      <c r="H17" s="10">
        <f ca="1"/>
        <v>3.7999999999999999E-2</v>
      </c>
      <c r="I17" s="10">
        <f ca="1"/>
        <v>1.7721100000000001</v>
      </c>
      <c r="K17" s="2">
        <v>450</v>
      </c>
      <c r="L17" s="10">
        <v>0.37069999999999997</v>
      </c>
      <c r="M17" s="10">
        <v>8.9459999999999998E-2</v>
      </c>
      <c r="N17" s="10">
        <v>1.9947999999999999</v>
      </c>
      <c r="P17" s="2">
        <v>374</v>
      </c>
      <c r="Q17" s="3">
        <v>6.55235E-4</v>
      </c>
      <c r="R17" s="3">
        <v>1.95838E-5</v>
      </c>
      <c r="S17">
        <v>3.0799999999999998E-3</v>
      </c>
      <c r="U17" s="2">
        <v>410</v>
      </c>
      <c r="V17" s="10">
        <v>17.675249999999998</v>
      </c>
      <c r="W17" s="10">
        <v>56.682209999999998</v>
      </c>
      <c r="X17" s="10">
        <v>91.486000000000004</v>
      </c>
    </row>
    <row r="18" spans="1:24">
      <c r="A18" s="2">
        <v>455</v>
      </c>
      <c r="B18" s="10">
        <v>35.406770000000002</v>
      </c>
      <c r="C18" s="10">
        <v>88.999769999999998</v>
      </c>
      <c r="D18" s="10">
        <v>117.41</v>
      </c>
      <c r="F18" s="2">
        <v>455</v>
      </c>
      <c r="G18" s="10" cm="1">
        <f t="array" aca="1" ref="G18:I18" ca="1">OFFSET($P$3,MATCH($F18,$P:$P,0)-3,1,1,3)</f>
        <v>0.31869999999999998</v>
      </c>
      <c r="H18" s="10">
        <f ca="1"/>
        <v>4.8000000000000001E-2</v>
      </c>
      <c r="I18" s="10">
        <f ca="1"/>
        <v>1.7441</v>
      </c>
      <c r="K18" s="2">
        <v>455</v>
      </c>
      <c r="L18" s="10">
        <v>0.34295999999999999</v>
      </c>
      <c r="M18" s="10">
        <v>0.10625999999999999</v>
      </c>
      <c r="N18" s="10">
        <v>1.9007000000000001</v>
      </c>
      <c r="P18" s="2">
        <v>375</v>
      </c>
      <c r="Q18" s="3">
        <v>7.4160000000000003E-4</v>
      </c>
      <c r="R18" s="3">
        <v>2.2019999999999999E-5</v>
      </c>
      <c r="S18">
        <v>3.49E-3</v>
      </c>
      <c r="U18" s="2">
        <v>415</v>
      </c>
      <c r="V18" s="10">
        <v>19.290710000000001</v>
      </c>
      <c r="W18" s="10">
        <v>58.435809999999996</v>
      </c>
      <c r="X18" s="10">
        <v>92.4589</v>
      </c>
    </row>
    <row r="19" spans="1:24">
      <c r="A19" s="2">
        <v>460</v>
      </c>
      <c r="B19" s="10">
        <v>37.812060000000002</v>
      </c>
      <c r="C19" s="10">
        <v>90.676950000000005</v>
      </c>
      <c r="D19" s="10">
        <v>117.812</v>
      </c>
      <c r="F19" s="2">
        <v>460</v>
      </c>
      <c r="G19" s="10" cm="1">
        <f t="array" aca="1" ref="G19:I19" ca="1">OFFSET($P$3,MATCH($F19,$P:$P,0)-3,1,1,3)</f>
        <v>0.2908</v>
      </c>
      <c r="H19" s="10">
        <f ca="1"/>
        <v>0.06</v>
      </c>
      <c r="I19" s="10">
        <f ca="1"/>
        <v>1.6692</v>
      </c>
      <c r="K19" s="2">
        <v>460</v>
      </c>
      <c r="L19" s="10">
        <v>0.30226999999999998</v>
      </c>
      <c r="M19" s="10">
        <v>0.12820000000000001</v>
      </c>
      <c r="N19" s="10">
        <v>1.7453700000000001</v>
      </c>
      <c r="P19" s="2">
        <v>376</v>
      </c>
      <c r="Q19" s="3">
        <v>8.4502999999999998E-4</v>
      </c>
      <c r="R19" s="3">
        <v>2.4839699999999999E-5</v>
      </c>
      <c r="S19">
        <v>3.98E-3</v>
      </c>
      <c r="U19" s="2">
        <v>420</v>
      </c>
      <c r="V19" s="10">
        <v>20.994959999999999</v>
      </c>
      <c r="W19" s="10">
        <v>60.189399999999999</v>
      </c>
      <c r="X19" s="10">
        <v>93.431799999999996</v>
      </c>
    </row>
    <row r="20" spans="1:24">
      <c r="A20" s="2">
        <v>465</v>
      </c>
      <c r="B20" s="10">
        <v>40.300159999999998</v>
      </c>
      <c r="C20" s="10">
        <v>91.047960000000003</v>
      </c>
      <c r="D20" s="10">
        <v>116.336</v>
      </c>
      <c r="F20" s="2">
        <v>465</v>
      </c>
      <c r="G20" s="10" cm="1">
        <f t="array" aca="1" ref="G20:I20" ca="1">OFFSET($P$3,MATCH($F20,$P:$P,0)-3,1,1,3)</f>
        <v>0.25109999999999999</v>
      </c>
      <c r="H20" s="10">
        <f ca="1"/>
        <v>7.3899999999999993E-2</v>
      </c>
      <c r="I20" s="10">
        <f ca="1"/>
        <v>1.5281</v>
      </c>
      <c r="K20" s="2">
        <v>465</v>
      </c>
      <c r="L20" s="10">
        <v>0.25408999999999998</v>
      </c>
      <c r="M20" s="10">
        <v>0.15276000000000001</v>
      </c>
      <c r="N20" s="10">
        <v>1.5548999999999999</v>
      </c>
      <c r="P20" s="2">
        <v>377</v>
      </c>
      <c r="Q20" s="3">
        <v>9.6452699999999996E-4</v>
      </c>
      <c r="R20" s="3">
        <v>2.8041299999999999E-5</v>
      </c>
      <c r="S20">
        <v>4.5399999999999998E-3</v>
      </c>
      <c r="U20" s="2">
        <v>425</v>
      </c>
      <c r="V20" s="10">
        <v>22.788340000000002</v>
      </c>
      <c r="W20" s="10">
        <v>59.062420000000003</v>
      </c>
      <c r="X20" s="10">
        <v>90.057000000000002</v>
      </c>
    </row>
    <row r="21" spans="1:24">
      <c r="A21" s="2">
        <v>470</v>
      </c>
      <c r="B21" s="10">
        <v>42.869280000000003</v>
      </c>
      <c r="C21" s="10">
        <v>91.418970000000002</v>
      </c>
      <c r="D21" s="10">
        <v>114.861</v>
      </c>
      <c r="F21" s="2">
        <v>470</v>
      </c>
      <c r="G21" s="10" cm="1">
        <f t="array" aca="1" ref="G21:I21" ca="1">OFFSET($P$3,MATCH($F21,$P:$P,0)-3,1,1,3)</f>
        <v>0.19536000000000001</v>
      </c>
      <c r="H21" s="10">
        <f ca="1"/>
        <v>9.0980000000000005E-2</v>
      </c>
      <c r="I21" s="10">
        <f ca="1"/>
        <v>1.2876399999999999</v>
      </c>
      <c r="K21" s="2">
        <v>470</v>
      </c>
      <c r="L21" s="10">
        <v>0.19561999999999999</v>
      </c>
      <c r="M21" s="10">
        <v>0.18518999999999999</v>
      </c>
      <c r="N21" s="10">
        <v>1.3175600000000001</v>
      </c>
      <c r="P21" s="2">
        <v>378</v>
      </c>
      <c r="Q21">
        <v>1.09E-3</v>
      </c>
      <c r="R21" s="3">
        <v>3.1531E-5</v>
      </c>
      <c r="S21">
        <v>5.1599999999999997E-3</v>
      </c>
      <c r="U21" s="2">
        <v>430</v>
      </c>
      <c r="V21" s="10">
        <v>24.670919999999999</v>
      </c>
      <c r="W21" s="10">
        <v>57.93544</v>
      </c>
      <c r="X21" s="10">
        <v>86.682299999999998</v>
      </c>
    </row>
    <row r="22" spans="1:24">
      <c r="A22" s="2">
        <v>475</v>
      </c>
      <c r="B22" s="10">
        <v>45.517400000000002</v>
      </c>
      <c r="C22" s="10">
        <v>93.282160000000005</v>
      </c>
      <c r="D22" s="10">
        <v>115.392</v>
      </c>
      <c r="F22" s="2">
        <v>475</v>
      </c>
      <c r="G22" s="10" cm="1">
        <f t="array" aca="1" ref="G22:I22" ca="1">OFFSET($P$3,MATCH($F22,$P:$P,0)-3,1,1,3)</f>
        <v>0.1421</v>
      </c>
      <c r="H22" s="10">
        <f ca="1"/>
        <v>0.11260000000000001</v>
      </c>
      <c r="I22" s="10">
        <f ca="1"/>
        <v>1.0419</v>
      </c>
      <c r="K22" s="2">
        <v>475</v>
      </c>
      <c r="L22" s="10">
        <v>0.13235</v>
      </c>
      <c r="M22" s="10">
        <v>0.21994</v>
      </c>
      <c r="N22" s="10">
        <v>1.0302</v>
      </c>
      <c r="P22" s="2">
        <v>379</v>
      </c>
      <c r="Q22">
        <v>1.23E-3</v>
      </c>
      <c r="R22" s="3">
        <v>3.5215200000000001E-5</v>
      </c>
      <c r="S22">
        <v>5.7999999999999996E-3</v>
      </c>
      <c r="U22" s="2">
        <v>435</v>
      </c>
      <c r="V22" s="10">
        <v>26.642530000000001</v>
      </c>
      <c r="W22" s="10">
        <v>66.42277</v>
      </c>
      <c r="X22" s="10">
        <v>95.773600000000002</v>
      </c>
    </row>
    <row r="23" spans="1:24">
      <c r="A23" s="2">
        <v>480</v>
      </c>
      <c r="B23" s="10">
        <v>48.242339999999999</v>
      </c>
      <c r="C23" s="10">
        <v>95.145340000000004</v>
      </c>
      <c r="D23" s="10">
        <v>115.923</v>
      </c>
      <c r="F23" s="2">
        <v>480</v>
      </c>
      <c r="G23" s="10" cm="1">
        <f t="array" aca="1" ref="G23:I23" ca="1">OFFSET($P$3,MATCH($F23,$P:$P,0)-3,1,1,3)</f>
        <v>9.5640000000000003E-2</v>
      </c>
      <c r="H23" s="10">
        <f ca="1"/>
        <v>0.13902</v>
      </c>
      <c r="I23" s="10">
        <f ca="1"/>
        <v>0.81294999999999995</v>
      </c>
      <c r="K23" s="2">
        <v>480</v>
      </c>
      <c r="L23" s="10">
        <v>8.0509999999999998E-2</v>
      </c>
      <c r="M23" s="10">
        <v>0.25358999999999998</v>
      </c>
      <c r="N23" s="10">
        <v>0.77212999999999998</v>
      </c>
      <c r="P23" s="2">
        <v>380</v>
      </c>
      <c r="Q23">
        <v>1.3699999999999999E-3</v>
      </c>
      <c r="R23" s="3">
        <v>3.8999999999999999E-5</v>
      </c>
      <c r="S23">
        <v>6.45E-3</v>
      </c>
      <c r="U23" s="2">
        <v>440</v>
      </c>
      <c r="V23" s="10">
        <v>28.702729999999999</v>
      </c>
      <c r="W23" s="10">
        <v>74.910089999999997</v>
      </c>
      <c r="X23" s="10">
        <v>104.86499999999999</v>
      </c>
    </row>
    <row r="24" spans="1:24">
      <c r="A24" s="2">
        <v>485</v>
      </c>
      <c r="B24" s="10">
        <v>51.041759999999996</v>
      </c>
      <c r="C24" s="10">
        <v>93.573160000000001</v>
      </c>
      <c r="D24" s="10">
        <v>112.367</v>
      </c>
      <c r="F24" s="2">
        <v>485</v>
      </c>
      <c r="G24" s="10" cm="1">
        <f t="array" aca="1" ref="G24:I24" ca="1">OFFSET($P$3,MATCH($F24,$P:$P,0)-3,1,1,3)</f>
        <v>5.7950000000000002E-2</v>
      </c>
      <c r="H24" s="10">
        <f ca="1"/>
        <v>0.16930000000000001</v>
      </c>
      <c r="I24" s="10">
        <f ca="1"/>
        <v>0.61619999999999997</v>
      </c>
      <c r="K24" s="2">
        <v>485</v>
      </c>
      <c r="L24" s="10">
        <v>4.1070000000000002E-2</v>
      </c>
      <c r="M24" s="10">
        <v>0.29766999999999999</v>
      </c>
      <c r="N24" s="10">
        <v>0.57006000000000001</v>
      </c>
      <c r="P24" s="2">
        <v>381</v>
      </c>
      <c r="Q24">
        <v>1.5E-3</v>
      </c>
      <c r="R24" s="3">
        <v>4.28264E-5</v>
      </c>
      <c r="S24">
        <v>7.0800000000000004E-3</v>
      </c>
      <c r="U24" s="2">
        <v>445</v>
      </c>
      <c r="V24" s="10">
        <v>30.850829999999998</v>
      </c>
      <c r="W24" s="10">
        <v>81.116339999999994</v>
      </c>
      <c r="X24" s="10">
        <v>110.93600000000001</v>
      </c>
    </row>
    <row r="25" spans="1:24">
      <c r="A25" s="2">
        <v>490</v>
      </c>
      <c r="B25" s="10">
        <v>53.913150000000002</v>
      </c>
      <c r="C25" s="10">
        <v>92.000979999999998</v>
      </c>
      <c r="D25" s="10">
        <v>108.81100000000001</v>
      </c>
      <c r="F25" s="2">
        <v>490</v>
      </c>
      <c r="G25" s="10" cm="1">
        <f t="array" aca="1" ref="G25:I25" ca="1">OFFSET($P$3,MATCH($F25,$P:$P,0)-3,1,1,3)</f>
        <v>3.2009999999999997E-2</v>
      </c>
      <c r="H25" s="10">
        <f ca="1"/>
        <v>0.20802000000000001</v>
      </c>
      <c r="I25" s="10">
        <f ca="1"/>
        <v>0.46517999999999998</v>
      </c>
      <c r="K25" s="2">
        <v>490</v>
      </c>
      <c r="L25" s="10">
        <v>1.617E-2</v>
      </c>
      <c r="M25" s="10">
        <v>0.33912999999999999</v>
      </c>
      <c r="N25" s="10">
        <v>0.41525000000000001</v>
      </c>
      <c r="P25" s="2">
        <v>382</v>
      </c>
      <c r="Q25">
        <v>1.64E-3</v>
      </c>
      <c r="R25" s="3">
        <v>4.69146E-5</v>
      </c>
      <c r="S25">
        <v>7.7499999999999999E-3</v>
      </c>
      <c r="U25" s="2">
        <v>450</v>
      </c>
      <c r="V25" s="10">
        <v>33.085889999999999</v>
      </c>
      <c r="W25" s="10">
        <v>87.322590000000005</v>
      </c>
      <c r="X25" s="10">
        <v>117.008</v>
      </c>
    </row>
    <row r="26" spans="1:24">
      <c r="A26" s="2">
        <v>495</v>
      </c>
      <c r="B26" s="10">
        <v>56.853859999999997</v>
      </c>
      <c r="C26" s="10">
        <v>93.877219999999994</v>
      </c>
      <c r="D26" s="10">
        <v>109.08199999999999</v>
      </c>
      <c r="F26" s="2">
        <v>495</v>
      </c>
      <c r="G26" s="10" cm="1">
        <f t="array" aca="1" ref="G26:I26" ca="1">OFFSET($P$3,MATCH($F26,$P:$P,0)-3,1,1,3)</f>
        <v>1.47E-2</v>
      </c>
      <c r="H26" s="10">
        <f ca="1"/>
        <v>0.2586</v>
      </c>
      <c r="I26" s="10">
        <f ca="1"/>
        <v>0.3533</v>
      </c>
      <c r="K26" s="2">
        <v>495</v>
      </c>
      <c r="L26" s="10">
        <v>5.13E-3</v>
      </c>
      <c r="M26" s="10">
        <v>0.39538000000000001</v>
      </c>
      <c r="N26" s="10">
        <v>0.30236000000000002</v>
      </c>
      <c r="P26" s="2">
        <v>383</v>
      </c>
      <c r="Q26">
        <v>1.8E-3</v>
      </c>
      <c r="R26" s="3">
        <v>5.1589599999999998E-5</v>
      </c>
      <c r="S26">
        <v>8.5000000000000006E-3</v>
      </c>
      <c r="U26" s="2">
        <v>455</v>
      </c>
      <c r="V26" s="10">
        <v>35.406770000000002</v>
      </c>
      <c r="W26" s="10">
        <v>88.999769999999998</v>
      </c>
      <c r="X26" s="10">
        <v>117.41</v>
      </c>
    </row>
    <row r="27" spans="1:24">
      <c r="A27" s="2">
        <v>500</v>
      </c>
      <c r="B27" s="10">
        <v>59.8611</v>
      </c>
      <c r="C27" s="10">
        <v>95.753460000000004</v>
      </c>
      <c r="D27" s="10">
        <v>109.354</v>
      </c>
      <c r="F27" s="2">
        <v>500</v>
      </c>
      <c r="G27" s="10" cm="1">
        <f t="array" aca="1" ref="G27:I27" ca="1">OFFSET($P$3,MATCH($F27,$P:$P,0)-3,1,1,3)</f>
        <v>4.8999999999999998E-3</v>
      </c>
      <c r="H27" s="10">
        <f ca="1"/>
        <v>0.32300000000000001</v>
      </c>
      <c r="I27" s="10">
        <f ca="1"/>
        <v>0.27200000000000002</v>
      </c>
      <c r="K27" s="2">
        <v>500</v>
      </c>
      <c r="L27" s="10">
        <v>3.82E-3</v>
      </c>
      <c r="M27" s="10">
        <v>0.46078000000000002</v>
      </c>
      <c r="N27" s="10">
        <v>0.2185</v>
      </c>
      <c r="P27" s="2">
        <v>384</v>
      </c>
      <c r="Q27">
        <v>2E-3</v>
      </c>
      <c r="R27" s="3">
        <v>5.7176399999999997E-5</v>
      </c>
      <c r="S27">
        <v>9.41E-3</v>
      </c>
      <c r="U27" s="2">
        <v>460</v>
      </c>
      <c r="V27" s="10">
        <v>37.812060000000002</v>
      </c>
      <c r="W27" s="10">
        <v>90.676950000000005</v>
      </c>
      <c r="X27" s="10">
        <v>117.812</v>
      </c>
    </row>
    <row r="28" spans="1:24">
      <c r="A28" s="2">
        <v>505</v>
      </c>
      <c r="B28" s="10">
        <v>62.93197</v>
      </c>
      <c r="C28" s="10">
        <v>96.194630000000004</v>
      </c>
      <c r="D28" s="10">
        <v>108.578</v>
      </c>
      <c r="F28" s="2">
        <v>505</v>
      </c>
      <c r="G28" s="10" cm="1">
        <f t="array" aca="1" ref="G28:I28" ca="1">OFFSET($P$3,MATCH($F28,$P:$P,0)-3,1,1,3)</f>
        <v>2.3999999999999998E-3</v>
      </c>
      <c r="H28" s="10">
        <f ca="1"/>
        <v>0.4073</v>
      </c>
      <c r="I28" s="10">
        <f ca="1"/>
        <v>0.21229999999999999</v>
      </c>
      <c r="K28" s="2">
        <v>505</v>
      </c>
      <c r="L28" s="10">
        <v>1.5440000000000001E-2</v>
      </c>
      <c r="M28" s="10">
        <v>0.53136000000000005</v>
      </c>
      <c r="N28" s="10">
        <v>0.15925</v>
      </c>
      <c r="P28" s="2">
        <v>385</v>
      </c>
      <c r="Q28">
        <v>2.2399999999999998E-3</v>
      </c>
      <c r="R28" s="3">
        <v>6.3999999999999997E-5</v>
      </c>
      <c r="S28">
        <v>1.055E-2</v>
      </c>
      <c r="U28" s="2">
        <v>465</v>
      </c>
      <c r="V28" s="10">
        <v>40.300159999999998</v>
      </c>
      <c r="W28" s="10">
        <v>91.047960000000003</v>
      </c>
      <c r="X28" s="10">
        <v>116.336</v>
      </c>
    </row>
    <row r="29" spans="1:24">
      <c r="A29" s="2">
        <v>510</v>
      </c>
      <c r="B29" s="10">
        <v>66.063469999999995</v>
      </c>
      <c r="C29" s="10">
        <v>96.635810000000006</v>
      </c>
      <c r="D29" s="10">
        <v>107.80200000000001</v>
      </c>
      <c r="F29" s="2">
        <v>510</v>
      </c>
      <c r="G29" s="10" cm="1">
        <f t="array" aca="1" ref="G29:I29" ca="1">OFFSET($P$3,MATCH($F29,$P:$P,0)-3,1,1,3)</f>
        <v>9.2999999999999992E-3</v>
      </c>
      <c r="H29" s="10">
        <f ca="1"/>
        <v>0.503</v>
      </c>
      <c r="I29" s="10">
        <f ca="1"/>
        <v>0.15820000000000001</v>
      </c>
      <c r="K29" s="2">
        <v>510</v>
      </c>
      <c r="L29" s="10">
        <v>3.7470000000000003E-2</v>
      </c>
      <c r="M29" s="10">
        <v>0.60673999999999995</v>
      </c>
      <c r="N29" s="10">
        <v>0.11204</v>
      </c>
      <c r="P29" s="2">
        <v>386</v>
      </c>
      <c r="Q29">
        <v>2.5400000000000002E-3</v>
      </c>
      <c r="R29" s="3">
        <v>7.2344199999999998E-5</v>
      </c>
      <c r="S29">
        <v>1.197E-2</v>
      </c>
      <c r="U29" s="2">
        <v>470</v>
      </c>
      <c r="V29" s="10">
        <v>42.869280000000003</v>
      </c>
      <c r="W29" s="10">
        <v>91.418970000000002</v>
      </c>
      <c r="X29" s="10">
        <v>114.861</v>
      </c>
    </row>
    <row r="30" spans="1:24">
      <c r="A30" s="2">
        <v>515</v>
      </c>
      <c r="B30" s="10">
        <v>69.252499999999998</v>
      </c>
      <c r="C30" s="10">
        <v>96.885810000000006</v>
      </c>
      <c r="D30" s="10">
        <v>106.29600000000001</v>
      </c>
      <c r="F30" s="2">
        <v>515</v>
      </c>
      <c r="G30" s="10" cm="1">
        <f t="array" aca="1" ref="G30:I30" ca="1">OFFSET($P$3,MATCH($F30,$P:$P,0)-3,1,1,3)</f>
        <v>2.9100000000000001E-2</v>
      </c>
      <c r="H30" s="10">
        <f ca="1"/>
        <v>0.60819999999999996</v>
      </c>
      <c r="I30" s="10">
        <f ca="1"/>
        <v>0.11169999999999999</v>
      </c>
      <c r="K30" s="2">
        <v>515</v>
      </c>
      <c r="L30" s="10">
        <v>7.1360000000000007E-2</v>
      </c>
      <c r="M30" s="10">
        <v>0.68566000000000005</v>
      </c>
      <c r="N30" s="10">
        <v>8.2250000000000004E-2</v>
      </c>
      <c r="P30" s="2">
        <v>387</v>
      </c>
      <c r="Q30">
        <v>2.8900000000000002E-3</v>
      </c>
      <c r="R30" s="3">
        <v>8.2212200000000005E-5</v>
      </c>
      <c r="S30">
        <v>1.366E-2</v>
      </c>
      <c r="U30" s="2">
        <v>475</v>
      </c>
      <c r="V30" s="10">
        <v>45.517400000000002</v>
      </c>
      <c r="W30" s="10">
        <v>93.282160000000005</v>
      </c>
      <c r="X30" s="10">
        <v>115.392</v>
      </c>
    </row>
    <row r="31" spans="1:24">
      <c r="A31" s="2">
        <v>520</v>
      </c>
      <c r="B31" s="10">
        <v>72.495869999999996</v>
      </c>
      <c r="C31" s="10">
        <v>97.135800000000003</v>
      </c>
      <c r="D31" s="10">
        <v>104.79</v>
      </c>
      <c r="F31" s="2">
        <v>520</v>
      </c>
      <c r="G31" s="10" cm="1">
        <f t="array" aca="1" ref="G31:I31" ca="1">OFFSET($P$3,MATCH($F31,$P:$P,0)-3,1,1,3)</f>
        <v>6.3270000000000007E-2</v>
      </c>
      <c r="H31" s="10">
        <f ca="1"/>
        <v>0.71</v>
      </c>
      <c r="I31" s="10">
        <f ca="1"/>
        <v>7.825E-2</v>
      </c>
      <c r="K31" s="2">
        <v>520</v>
      </c>
      <c r="L31" s="10">
        <v>0.11774999999999999</v>
      </c>
      <c r="M31" s="10">
        <v>0.76175999999999999</v>
      </c>
      <c r="N31" s="10">
        <v>6.071E-2</v>
      </c>
      <c r="P31" s="2">
        <v>388</v>
      </c>
      <c r="Q31">
        <v>3.3E-3</v>
      </c>
      <c r="R31" s="3">
        <v>9.35082E-5</v>
      </c>
      <c r="S31">
        <v>1.559E-2</v>
      </c>
      <c r="U31" s="2">
        <v>480</v>
      </c>
      <c r="V31" s="10">
        <v>48.242339999999999</v>
      </c>
      <c r="W31" s="10">
        <v>95.145340000000004</v>
      </c>
      <c r="X31" s="10">
        <v>115.923</v>
      </c>
    </row>
    <row r="32" spans="1:24">
      <c r="A32" s="2">
        <v>525</v>
      </c>
      <c r="B32" s="10">
        <v>75.79034</v>
      </c>
      <c r="C32" s="10">
        <v>99.618210000000005</v>
      </c>
      <c r="D32" s="10">
        <v>106.239</v>
      </c>
      <c r="F32" s="2">
        <v>525</v>
      </c>
      <c r="G32" s="10" cm="1">
        <f t="array" aca="1" ref="G32:I32" ca="1">OFFSET($P$3,MATCH($F32,$P:$P,0)-3,1,1,3)</f>
        <v>0.1096</v>
      </c>
      <c r="H32" s="10">
        <f ca="1"/>
        <v>0.79320000000000002</v>
      </c>
      <c r="I32" s="10">
        <f ca="1"/>
        <v>5.7250000000000002E-2</v>
      </c>
      <c r="K32" s="2">
        <v>525</v>
      </c>
      <c r="L32" s="10">
        <v>0.17294999999999999</v>
      </c>
      <c r="M32" s="10">
        <v>0.82333000000000001</v>
      </c>
      <c r="N32" s="10">
        <v>4.3049999999999998E-2</v>
      </c>
      <c r="P32" s="2">
        <v>389</v>
      </c>
      <c r="Q32">
        <v>3.7499999999999999E-3</v>
      </c>
      <c r="R32" s="3">
        <v>1.06136E-4</v>
      </c>
      <c r="S32">
        <v>1.7729999999999999E-2</v>
      </c>
      <c r="U32" s="2">
        <v>485</v>
      </c>
      <c r="V32" s="10">
        <v>51.041759999999996</v>
      </c>
      <c r="W32" s="10">
        <v>93.573160000000001</v>
      </c>
      <c r="X32" s="10">
        <v>112.367</v>
      </c>
    </row>
    <row r="33" spans="1:24">
      <c r="A33" s="2">
        <v>530</v>
      </c>
      <c r="B33" s="10">
        <v>79.132589999999993</v>
      </c>
      <c r="C33" s="10">
        <v>102.10061</v>
      </c>
      <c r="D33" s="10">
        <v>107.68899999999999</v>
      </c>
      <c r="F33" s="2">
        <v>530</v>
      </c>
      <c r="G33" s="10" cm="1">
        <f t="array" aca="1" ref="G33:I33" ca="1">OFFSET($P$3,MATCH($F33,$P:$P,0)-3,1,1,3)</f>
        <v>0.16550000000000001</v>
      </c>
      <c r="H33" s="10">
        <f ca="1"/>
        <v>0.86199999999999999</v>
      </c>
      <c r="I33" s="10">
        <f ca="1"/>
        <v>4.2160000000000003E-2</v>
      </c>
      <c r="K33" s="2">
        <v>530</v>
      </c>
      <c r="L33" s="10">
        <v>0.23649000000000001</v>
      </c>
      <c r="M33" s="10">
        <v>0.87521000000000004</v>
      </c>
      <c r="N33" s="10">
        <v>3.0450000000000001E-2</v>
      </c>
      <c r="P33" s="2">
        <v>390</v>
      </c>
      <c r="Q33">
        <v>4.2399999999999998E-3</v>
      </c>
      <c r="R33" s="3">
        <v>1.2E-4</v>
      </c>
      <c r="S33">
        <v>2.0049999999999998E-2</v>
      </c>
      <c r="U33" s="2">
        <v>490</v>
      </c>
      <c r="V33" s="10">
        <v>53.913150000000002</v>
      </c>
      <c r="W33" s="10">
        <v>92.000979999999998</v>
      </c>
      <c r="X33" s="10">
        <v>108.81100000000001</v>
      </c>
    </row>
    <row r="34" spans="1:24">
      <c r="A34" s="2">
        <v>535</v>
      </c>
      <c r="B34" s="10">
        <v>82.519279999999995</v>
      </c>
      <c r="C34" s="10">
        <v>101.43026999999999</v>
      </c>
      <c r="D34" s="10">
        <v>106.047</v>
      </c>
      <c r="F34" s="2">
        <v>535</v>
      </c>
      <c r="G34" s="10" cm="1">
        <f t="array" aca="1" ref="G34:I34" ca="1">OFFSET($P$3,MATCH($F34,$P:$P,0)-3,1,1,3)</f>
        <v>0.22575000000000001</v>
      </c>
      <c r="H34" s="10">
        <f ca="1"/>
        <v>0.91485000000000005</v>
      </c>
      <c r="I34" s="10">
        <f ca="1"/>
        <v>2.9839999999999998E-2</v>
      </c>
      <c r="K34" s="2">
        <v>535</v>
      </c>
      <c r="L34" s="10">
        <v>0.30420999999999998</v>
      </c>
      <c r="M34" s="10">
        <v>0.92381000000000002</v>
      </c>
      <c r="N34" s="10">
        <v>2.0580000000000001E-2</v>
      </c>
      <c r="P34" s="2">
        <v>391</v>
      </c>
      <c r="Q34">
        <v>4.7600000000000003E-3</v>
      </c>
      <c r="R34" s="3">
        <v>1.3498399999999999E-4</v>
      </c>
      <c r="S34">
        <v>2.2509999999999999E-2</v>
      </c>
      <c r="U34" s="2">
        <v>495</v>
      </c>
      <c r="V34" s="10">
        <v>56.853859999999997</v>
      </c>
      <c r="W34" s="10">
        <v>93.877219999999994</v>
      </c>
      <c r="X34" s="10">
        <v>109.08199999999999</v>
      </c>
    </row>
    <row r="35" spans="1:24">
      <c r="A35" s="2">
        <v>540</v>
      </c>
      <c r="B35" s="10">
        <v>85.947019999999995</v>
      </c>
      <c r="C35" s="10">
        <v>100.75994</v>
      </c>
      <c r="D35" s="10">
        <v>104.405</v>
      </c>
      <c r="F35" s="2">
        <v>540</v>
      </c>
      <c r="G35" s="10" cm="1">
        <f t="array" aca="1" ref="G35:I35" ca="1">OFFSET($P$3,MATCH($F35,$P:$P,0)-3,1,1,3)</f>
        <v>0.29039999999999999</v>
      </c>
      <c r="H35" s="10">
        <f ca="1"/>
        <v>0.95399999999999996</v>
      </c>
      <c r="I35" s="10">
        <f ca="1"/>
        <v>2.0299999999999999E-2</v>
      </c>
      <c r="K35" s="2">
        <v>540</v>
      </c>
      <c r="L35" s="10">
        <v>0.37676999999999999</v>
      </c>
      <c r="M35" s="10">
        <v>0.96199000000000001</v>
      </c>
      <c r="N35" s="10">
        <v>1.3679999999999999E-2</v>
      </c>
      <c r="P35" s="2">
        <v>392</v>
      </c>
      <c r="Q35">
        <v>5.3299999999999997E-3</v>
      </c>
      <c r="R35" s="3">
        <v>1.5149200000000001E-4</v>
      </c>
      <c r="S35">
        <v>2.52E-2</v>
      </c>
      <c r="U35" s="2">
        <v>500</v>
      </c>
      <c r="V35" s="10">
        <v>59.8611</v>
      </c>
      <c r="W35" s="10">
        <v>95.753460000000004</v>
      </c>
      <c r="X35" s="10">
        <v>109.354</v>
      </c>
    </row>
    <row r="36" spans="1:24">
      <c r="A36" s="2">
        <v>545</v>
      </c>
      <c r="B36" s="10">
        <v>89.412390000000002</v>
      </c>
      <c r="C36" s="10">
        <v>101.53883</v>
      </c>
      <c r="D36" s="10">
        <v>104.22499999999999</v>
      </c>
      <c r="F36" s="2">
        <v>545</v>
      </c>
      <c r="G36" s="10" cm="1">
        <f t="array" aca="1" ref="G36:I36" ca="1">OFFSET($P$3,MATCH($F36,$P:$P,0)-3,1,1,3)</f>
        <v>0.35970000000000002</v>
      </c>
      <c r="H36" s="10">
        <f ca="1"/>
        <v>0.98029999999999995</v>
      </c>
      <c r="I36" s="10">
        <f ca="1"/>
        <v>1.34E-2</v>
      </c>
      <c r="K36" s="2">
        <v>545</v>
      </c>
      <c r="L36" s="10">
        <v>0.45157999999999998</v>
      </c>
      <c r="M36" s="10">
        <v>0.98219999999999996</v>
      </c>
      <c r="N36" s="10">
        <v>7.92E-3</v>
      </c>
      <c r="P36" s="2">
        <v>393</v>
      </c>
      <c r="Q36">
        <v>5.9800000000000001E-3</v>
      </c>
      <c r="R36" s="3">
        <v>1.7020800000000001E-4</v>
      </c>
      <c r="S36">
        <v>2.828E-2</v>
      </c>
      <c r="U36" s="2">
        <v>505</v>
      </c>
      <c r="V36" s="10">
        <v>62.93197</v>
      </c>
      <c r="W36" s="10">
        <v>96.194630000000004</v>
      </c>
      <c r="X36" s="10">
        <v>108.578</v>
      </c>
    </row>
    <row r="37" spans="1:24">
      <c r="A37" s="2">
        <v>550</v>
      </c>
      <c r="B37" s="10">
        <v>92.911959999999993</v>
      </c>
      <c r="C37" s="10">
        <v>102.31773</v>
      </c>
      <c r="D37" s="10">
        <v>104.04600000000001</v>
      </c>
      <c r="F37" s="2">
        <v>550</v>
      </c>
      <c r="G37" s="10" cm="1">
        <f t="array" aca="1" ref="G37:I37" ca="1">OFFSET($P$3,MATCH($F37,$P:$P,0)-3,1,1,3)</f>
        <v>0.43345</v>
      </c>
      <c r="H37" s="10">
        <f ca="1"/>
        <v>0.99495</v>
      </c>
      <c r="I37" s="10">
        <f ca="1"/>
        <v>8.7500000000000008E-3</v>
      </c>
      <c r="K37" s="2">
        <v>550</v>
      </c>
      <c r="L37" s="10">
        <v>0.52983000000000002</v>
      </c>
      <c r="M37" s="10">
        <v>0.99175999999999997</v>
      </c>
      <c r="N37" s="10">
        <v>3.9899999999999996E-3</v>
      </c>
      <c r="P37" s="2">
        <v>394</v>
      </c>
      <c r="Q37">
        <v>6.7400000000000003E-3</v>
      </c>
      <c r="R37" s="3">
        <v>1.9181600000000001E-4</v>
      </c>
      <c r="S37">
        <v>3.1899999999999998E-2</v>
      </c>
      <c r="U37" s="2">
        <v>510</v>
      </c>
      <c r="V37" s="10">
        <v>66.063469999999995</v>
      </c>
      <c r="W37" s="10">
        <v>96.635810000000006</v>
      </c>
      <c r="X37" s="10">
        <v>107.80200000000001</v>
      </c>
    </row>
    <row r="38" spans="1:24">
      <c r="A38" s="2">
        <v>555</v>
      </c>
      <c r="B38" s="10">
        <v>96.442310000000006</v>
      </c>
      <c r="C38" s="10">
        <v>101.15886</v>
      </c>
      <c r="D38" s="10">
        <v>102.023</v>
      </c>
      <c r="F38" s="2">
        <v>555</v>
      </c>
      <c r="G38" s="10" cm="1">
        <f t="array" aca="1" ref="G38:I38" ca="1">OFFSET($P$3,MATCH($F38,$P:$P,0)-3,1,1,3)</f>
        <v>0.51205000000000001</v>
      </c>
      <c r="H38" s="10">
        <f ca="1"/>
        <v>1</v>
      </c>
      <c r="I38" s="10">
        <f ca="1"/>
        <v>5.7499999999999999E-3</v>
      </c>
      <c r="K38" s="2">
        <v>555</v>
      </c>
      <c r="L38" s="10">
        <v>0.61604999999999999</v>
      </c>
      <c r="M38" s="10">
        <v>0.99911000000000005</v>
      </c>
      <c r="N38" s="10">
        <v>1.09E-3</v>
      </c>
      <c r="P38" s="2">
        <v>395</v>
      </c>
      <c r="Q38">
        <v>7.6499999999999997E-3</v>
      </c>
      <c r="R38" s="3">
        <v>2.1699999999999999E-4</v>
      </c>
      <c r="S38">
        <v>3.6209999999999999E-2</v>
      </c>
      <c r="U38" s="2">
        <v>515</v>
      </c>
      <c r="V38" s="10">
        <v>69.252499999999998</v>
      </c>
      <c r="W38" s="10">
        <v>96.885810000000006</v>
      </c>
      <c r="X38" s="10">
        <v>106.29600000000001</v>
      </c>
    </row>
    <row r="39" spans="1:24">
      <c r="A39" s="2">
        <v>560</v>
      </c>
      <c r="B39" s="10">
        <v>100</v>
      </c>
      <c r="C39" s="10">
        <v>100</v>
      </c>
      <c r="D39" s="10">
        <v>100</v>
      </c>
      <c r="F39" s="2">
        <v>560</v>
      </c>
      <c r="G39" s="10" cm="1">
        <f t="array" aca="1" ref="G39:I39" ca="1">OFFSET($P$3,MATCH($F39,$P:$P,0)-3,1,1,3)</f>
        <v>0.59450000000000003</v>
      </c>
      <c r="H39" s="10">
        <f ca="1"/>
        <v>0.995</v>
      </c>
      <c r="I39" s="10">
        <f ca="1"/>
        <v>3.8999999999999998E-3</v>
      </c>
      <c r="K39" s="2">
        <v>560</v>
      </c>
      <c r="L39" s="10">
        <v>0.70521999999999996</v>
      </c>
      <c r="M39" s="10">
        <v>0.99734</v>
      </c>
      <c r="N39" s="10">
        <v>0</v>
      </c>
      <c r="P39" s="2">
        <v>396</v>
      </c>
      <c r="Q39">
        <v>8.7500000000000008E-3</v>
      </c>
      <c r="R39" s="3">
        <v>2.4690699999999999E-4</v>
      </c>
      <c r="S39">
        <v>4.1439999999999998E-2</v>
      </c>
      <c r="U39" s="2">
        <v>520</v>
      </c>
      <c r="V39" s="10">
        <v>72.495869999999996</v>
      </c>
      <c r="W39" s="10">
        <v>97.135800000000003</v>
      </c>
      <c r="X39" s="10">
        <v>104.79</v>
      </c>
    </row>
    <row r="40" spans="1:24">
      <c r="A40" s="2">
        <v>565</v>
      </c>
      <c r="B40" s="10">
        <v>103.58163</v>
      </c>
      <c r="C40" s="10">
        <v>98.866609999999994</v>
      </c>
      <c r="D40" s="10">
        <v>98.167100000000005</v>
      </c>
      <c r="F40" s="2">
        <v>565</v>
      </c>
      <c r="G40" s="10" cm="1">
        <f t="array" aca="1" ref="G40:I40" ca="1">OFFSET($P$3,MATCH($F40,$P:$P,0)-3,1,1,3)</f>
        <v>0.6784</v>
      </c>
      <c r="H40" s="10">
        <f ca="1"/>
        <v>0.97860000000000003</v>
      </c>
      <c r="I40" s="10">
        <f ca="1"/>
        <v>2.7499999999999998E-3</v>
      </c>
      <c r="K40" s="2">
        <v>565</v>
      </c>
      <c r="L40" s="10">
        <v>0.79383000000000004</v>
      </c>
      <c r="M40" s="10">
        <v>0.98238000000000003</v>
      </c>
      <c r="N40" s="10">
        <v>0</v>
      </c>
      <c r="P40" s="2">
        <v>397</v>
      </c>
      <c r="Q40">
        <v>1.0030000000000001E-2</v>
      </c>
      <c r="R40" s="3">
        <v>2.8123999999999998E-4</v>
      </c>
      <c r="S40">
        <v>4.7500000000000001E-2</v>
      </c>
      <c r="U40" s="2">
        <v>525</v>
      </c>
      <c r="V40" s="10">
        <v>75.79034</v>
      </c>
      <c r="W40" s="10">
        <v>99.618210000000005</v>
      </c>
      <c r="X40" s="10">
        <v>106.239</v>
      </c>
    </row>
    <row r="41" spans="1:24">
      <c r="A41" s="2">
        <v>570</v>
      </c>
      <c r="B41" s="10">
        <v>107.18380000000001</v>
      </c>
      <c r="C41" s="10">
        <v>97.733220000000003</v>
      </c>
      <c r="D41" s="10">
        <v>96.334199999999996</v>
      </c>
      <c r="F41" s="2">
        <v>570</v>
      </c>
      <c r="G41" s="10" cm="1">
        <f t="array" aca="1" ref="G41:I41" ca="1">OFFSET($P$3,MATCH($F41,$P:$P,0)-3,1,1,3)</f>
        <v>0.7621</v>
      </c>
      <c r="H41" s="10">
        <f ca="1"/>
        <v>0.95199999999999996</v>
      </c>
      <c r="I41" s="10">
        <f ca="1"/>
        <v>2.0999999999999999E-3</v>
      </c>
      <c r="K41" s="2">
        <v>570</v>
      </c>
      <c r="L41" s="10">
        <v>0.87866</v>
      </c>
      <c r="M41" s="10">
        <v>0.95555000000000001</v>
      </c>
      <c r="N41" s="10">
        <v>0</v>
      </c>
      <c r="P41" s="2">
        <v>398</v>
      </c>
      <c r="Q41">
        <v>1.142E-2</v>
      </c>
      <c r="R41" s="3">
        <v>3.1851999999999998E-4</v>
      </c>
      <c r="S41">
        <v>5.4120000000000001E-2</v>
      </c>
      <c r="U41" s="2">
        <v>530</v>
      </c>
      <c r="V41" s="10">
        <v>79.132589999999993</v>
      </c>
      <c r="W41" s="10">
        <v>102.10061</v>
      </c>
      <c r="X41" s="10">
        <v>107.68899999999999</v>
      </c>
    </row>
    <row r="42" spans="1:24">
      <c r="A42" s="2">
        <v>575</v>
      </c>
      <c r="B42" s="10">
        <v>110.80314</v>
      </c>
      <c r="C42" s="10">
        <v>98.324349999999995</v>
      </c>
      <c r="D42" s="10">
        <v>96.061099999999996</v>
      </c>
      <c r="F42" s="2">
        <v>575</v>
      </c>
      <c r="G42" s="10" cm="1">
        <f t="array" aca="1" ref="G42:I42" ca="1">OFFSET($P$3,MATCH($F42,$P:$P,0)-3,1,1,3)</f>
        <v>0.84250000000000003</v>
      </c>
      <c r="H42" s="10">
        <f ca="1"/>
        <v>0.91539999999999999</v>
      </c>
      <c r="I42" s="10">
        <f ca="1"/>
        <v>1.8E-3</v>
      </c>
      <c r="K42" s="2">
        <v>575</v>
      </c>
      <c r="L42" s="10">
        <v>0.95116000000000001</v>
      </c>
      <c r="M42" s="10">
        <v>0.91517999999999999</v>
      </c>
      <c r="N42" s="10">
        <v>0</v>
      </c>
      <c r="P42" s="2">
        <v>399</v>
      </c>
      <c r="Q42">
        <v>1.2869999999999999E-2</v>
      </c>
      <c r="R42" s="3">
        <v>3.5726699999999998E-4</v>
      </c>
      <c r="S42">
        <v>6.0999999999999999E-2</v>
      </c>
      <c r="U42" s="2">
        <v>535</v>
      </c>
      <c r="V42" s="10">
        <v>82.519279999999995</v>
      </c>
      <c r="W42" s="10">
        <v>101.43026999999999</v>
      </c>
      <c r="X42" s="10">
        <v>106.047</v>
      </c>
    </row>
    <row r="43" spans="1:24">
      <c r="A43" s="2">
        <v>580</v>
      </c>
      <c r="B43" s="10">
        <v>114.43634</v>
      </c>
      <c r="C43" s="10">
        <v>98.915490000000005</v>
      </c>
      <c r="D43" s="10">
        <v>95.787999999999997</v>
      </c>
      <c r="F43" s="2">
        <v>580</v>
      </c>
      <c r="G43" s="10" cm="1">
        <f t="array" aca="1" ref="G43:I43" ca="1">OFFSET($P$3,MATCH($F43,$P:$P,0)-3,1,1,3)</f>
        <v>0.9163</v>
      </c>
      <c r="H43" s="10">
        <f ca="1"/>
        <v>0.87</v>
      </c>
      <c r="I43" s="10">
        <f ca="1"/>
        <v>1.65E-3</v>
      </c>
      <c r="K43" s="2">
        <v>580</v>
      </c>
      <c r="L43" s="10">
        <v>1.01416</v>
      </c>
      <c r="M43" s="10">
        <v>0.86892999999999998</v>
      </c>
      <c r="N43" s="10">
        <v>0</v>
      </c>
      <c r="P43" s="2">
        <v>400</v>
      </c>
      <c r="Q43">
        <v>1.431E-2</v>
      </c>
      <c r="R43" s="3">
        <v>3.9599999999999998E-4</v>
      </c>
      <c r="S43">
        <v>6.7849999999999994E-2</v>
      </c>
      <c r="U43" s="2">
        <v>540</v>
      </c>
      <c r="V43" s="10">
        <v>85.947019999999995</v>
      </c>
      <c r="W43" s="10">
        <v>100.75994</v>
      </c>
      <c r="X43" s="10">
        <v>104.405</v>
      </c>
    </row>
    <row r="44" spans="1:24">
      <c r="A44" s="2">
        <v>585</v>
      </c>
      <c r="B44" s="10">
        <v>118.0801</v>
      </c>
      <c r="C44" s="10">
        <v>96.223709999999997</v>
      </c>
      <c r="D44" s="10">
        <v>92.236800000000002</v>
      </c>
      <c r="F44" s="2">
        <v>585</v>
      </c>
      <c r="G44" s="10" cm="1">
        <f t="array" aca="1" ref="G44:I44" ca="1">OFFSET($P$3,MATCH($F44,$P:$P,0)-3,1,1,3)</f>
        <v>0.97860000000000003</v>
      </c>
      <c r="H44" s="10">
        <f ca="1"/>
        <v>0.81630000000000003</v>
      </c>
      <c r="I44" s="10">
        <f ca="1"/>
        <v>1.4E-3</v>
      </c>
      <c r="K44" s="2">
        <v>585</v>
      </c>
      <c r="L44" s="10">
        <v>1.0743</v>
      </c>
      <c r="M44" s="10">
        <v>0.82562000000000002</v>
      </c>
      <c r="N44" s="10">
        <v>0</v>
      </c>
      <c r="P44" s="2">
        <v>401</v>
      </c>
      <c r="Q44">
        <v>1.5699999999999999E-2</v>
      </c>
      <c r="R44" s="3">
        <v>4.3371499999999999E-4</v>
      </c>
      <c r="S44">
        <v>7.4490000000000001E-2</v>
      </c>
      <c r="U44" s="2">
        <v>545</v>
      </c>
      <c r="V44" s="10">
        <v>89.412390000000002</v>
      </c>
      <c r="W44" s="10">
        <v>101.53883</v>
      </c>
      <c r="X44" s="10">
        <v>104.22499999999999</v>
      </c>
    </row>
    <row r="45" spans="1:24">
      <c r="A45" s="2">
        <v>590</v>
      </c>
      <c r="B45" s="10">
        <v>121.7312</v>
      </c>
      <c r="C45" s="10">
        <v>93.531940000000006</v>
      </c>
      <c r="D45" s="10">
        <v>88.685599999999994</v>
      </c>
      <c r="F45" s="2">
        <v>590</v>
      </c>
      <c r="G45" s="10" cm="1">
        <f t="array" aca="1" ref="G45:I45" ca="1">OFFSET($P$3,MATCH($F45,$P:$P,0)-3,1,1,3)</f>
        <v>1.0263</v>
      </c>
      <c r="H45" s="10">
        <f ca="1"/>
        <v>0.75700000000000001</v>
      </c>
      <c r="I45" s="10">
        <f ca="1"/>
        <v>1.1000000000000001E-3</v>
      </c>
      <c r="K45" s="2">
        <v>590</v>
      </c>
      <c r="L45" s="10">
        <v>1.11852</v>
      </c>
      <c r="M45" s="10">
        <v>0.77741000000000005</v>
      </c>
      <c r="N45" s="10">
        <v>0</v>
      </c>
      <c r="P45" s="2">
        <v>402</v>
      </c>
      <c r="Q45">
        <v>1.7149999999999999E-2</v>
      </c>
      <c r="R45" s="3">
        <v>4.73024E-4</v>
      </c>
      <c r="S45">
        <v>8.1360000000000002E-2</v>
      </c>
      <c r="U45" s="2">
        <v>550</v>
      </c>
      <c r="V45" s="10">
        <v>92.911959999999993</v>
      </c>
      <c r="W45" s="10">
        <v>102.31773</v>
      </c>
      <c r="X45" s="10">
        <v>104.04600000000001</v>
      </c>
    </row>
    <row r="46" spans="1:24">
      <c r="A46" s="2">
        <v>595</v>
      </c>
      <c r="B46" s="10">
        <v>125.38645</v>
      </c>
      <c r="C46" s="10">
        <v>95.634209999999996</v>
      </c>
      <c r="D46" s="10">
        <v>89.3459</v>
      </c>
      <c r="F46" s="2">
        <v>595</v>
      </c>
      <c r="G46" s="10" cm="1">
        <f t="array" aca="1" ref="G46:I46" ca="1">OFFSET($P$3,MATCH($F46,$P:$P,0)-3,1,1,3)</f>
        <v>1.0567</v>
      </c>
      <c r="H46" s="10">
        <f ca="1"/>
        <v>0.69489999999999996</v>
      </c>
      <c r="I46" s="10">
        <f ca="1"/>
        <v>1E-3</v>
      </c>
      <c r="K46" s="2">
        <v>595</v>
      </c>
      <c r="L46" s="10">
        <v>1.1343000000000001</v>
      </c>
      <c r="M46" s="10">
        <v>0.72035000000000005</v>
      </c>
      <c r="N46" s="10">
        <v>0</v>
      </c>
      <c r="P46" s="2">
        <v>403</v>
      </c>
      <c r="Q46">
        <v>1.8780000000000002E-2</v>
      </c>
      <c r="R46" s="3">
        <v>5.1787600000000001E-4</v>
      </c>
      <c r="S46">
        <v>8.9149999999999993E-2</v>
      </c>
      <c r="U46" s="2">
        <v>555</v>
      </c>
      <c r="V46" s="10">
        <v>96.442310000000006</v>
      </c>
      <c r="W46" s="10">
        <v>101.15886</v>
      </c>
      <c r="X46" s="10">
        <v>102.023</v>
      </c>
    </row>
    <row r="47" spans="1:24">
      <c r="A47" s="2">
        <v>600</v>
      </c>
      <c r="B47" s="10">
        <v>129.04274000000001</v>
      </c>
      <c r="C47" s="10">
        <v>97.736469999999997</v>
      </c>
      <c r="D47" s="10">
        <v>90.006200000000007</v>
      </c>
      <c r="F47" s="2">
        <v>600</v>
      </c>
      <c r="G47" s="10" cm="1">
        <f t="array" aca="1" ref="G47:I47" ca="1">OFFSET($P$3,MATCH($F47,$P:$P,0)-3,1,1,3)</f>
        <v>1.0622</v>
      </c>
      <c r="H47" s="10">
        <f ca="1"/>
        <v>0.63100000000000001</v>
      </c>
      <c r="I47" s="10">
        <f ca="1"/>
        <v>8.0000000000000004E-4</v>
      </c>
      <c r="K47" s="2">
        <v>600</v>
      </c>
      <c r="L47" s="10">
        <v>1.12399</v>
      </c>
      <c r="M47" s="10">
        <v>0.65834000000000004</v>
      </c>
      <c r="N47" s="10">
        <v>0</v>
      </c>
      <c r="P47" s="2">
        <v>404</v>
      </c>
      <c r="Q47">
        <v>2.0750000000000001E-2</v>
      </c>
      <c r="R47" s="3">
        <v>5.72219E-4</v>
      </c>
      <c r="S47">
        <v>9.8540000000000003E-2</v>
      </c>
      <c r="U47" s="2">
        <v>560</v>
      </c>
      <c r="V47" s="10">
        <v>100</v>
      </c>
      <c r="W47" s="10">
        <v>100</v>
      </c>
      <c r="X47" s="10">
        <v>100</v>
      </c>
    </row>
    <row r="48" spans="1:24">
      <c r="A48" s="2">
        <v>605</v>
      </c>
      <c r="B48" s="10">
        <v>132.69701000000001</v>
      </c>
      <c r="C48" s="10">
        <v>98.534419999999997</v>
      </c>
      <c r="D48" s="10">
        <v>89.802599999999998</v>
      </c>
      <c r="F48" s="2">
        <v>605</v>
      </c>
      <c r="G48" s="10" cm="1">
        <f t="array" aca="1" ref="G48:I48" ca="1">OFFSET($P$3,MATCH($F48,$P:$P,0)-3,1,1,3)</f>
        <v>1.0456000000000001</v>
      </c>
      <c r="H48" s="10">
        <f ca="1"/>
        <v>0.56679999999999997</v>
      </c>
      <c r="I48" s="10">
        <f ca="1"/>
        <v>5.9999999999999995E-4</v>
      </c>
      <c r="K48" s="2">
        <v>605</v>
      </c>
      <c r="L48" s="10">
        <v>1.0891</v>
      </c>
      <c r="M48" s="10">
        <v>0.59387999999999996</v>
      </c>
      <c r="N48" s="10">
        <v>0</v>
      </c>
      <c r="P48" s="2">
        <v>405</v>
      </c>
      <c r="Q48">
        <v>2.3189999999999999E-2</v>
      </c>
      <c r="R48" s="3">
        <v>6.4000000000000005E-4</v>
      </c>
      <c r="S48">
        <v>0.11020000000000001</v>
      </c>
      <c r="U48" s="2">
        <v>565</v>
      </c>
      <c r="V48" s="10">
        <v>103.58163</v>
      </c>
      <c r="W48" s="10">
        <v>98.866609999999994</v>
      </c>
      <c r="X48" s="10">
        <v>98.167100000000005</v>
      </c>
    </row>
    <row r="49" spans="1:24">
      <c r="A49" s="2">
        <v>610</v>
      </c>
      <c r="B49" s="10">
        <v>136.34627</v>
      </c>
      <c r="C49" s="10">
        <v>99.332369999999997</v>
      </c>
      <c r="D49" s="10">
        <v>89.599100000000007</v>
      </c>
      <c r="F49" s="2">
        <v>610</v>
      </c>
      <c r="G49" s="10" cm="1">
        <f t="array" aca="1" ref="G49:I49" ca="1">OFFSET($P$3,MATCH($F49,$P:$P,0)-3,1,1,3)</f>
        <v>1.0025999999999999</v>
      </c>
      <c r="H49" s="10">
        <f ca="1"/>
        <v>0.503</v>
      </c>
      <c r="I49" s="10">
        <f ca="1"/>
        <v>3.4000000000000002E-4</v>
      </c>
      <c r="K49" s="2">
        <v>610</v>
      </c>
      <c r="L49" s="10">
        <v>1.0304800000000001</v>
      </c>
      <c r="M49" s="10">
        <v>0.52795999999999998</v>
      </c>
      <c r="N49" s="10">
        <v>0</v>
      </c>
      <c r="P49" s="2">
        <v>406</v>
      </c>
      <c r="Q49">
        <v>2.6210000000000001E-2</v>
      </c>
      <c r="R49" s="3">
        <v>7.2455999999999996E-4</v>
      </c>
      <c r="S49">
        <v>0.12461</v>
      </c>
      <c r="U49" s="2">
        <v>570</v>
      </c>
      <c r="V49" s="10">
        <v>107.18380000000001</v>
      </c>
      <c r="W49" s="10">
        <v>97.733220000000003</v>
      </c>
      <c r="X49" s="10">
        <v>96.334199999999996</v>
      </c>
    </row>
    <row r="50" spans="1:24">
      <c r="A50" s="2">
        <v>615</v>
      </c>
      <c r="B50" s="10">
        <v>139.98760999999999</v>
      </c>
      <c r="C50" s="10">
        <v>99.222520000000003</v>
      </c>
      <c r="D50" s="10">
        <v>88.648899999999998</v>
      </c>
      <c r="F50" s="2">
        <v>615</v>
      </c>
      <c r="G50" s="10" cm="1">
        <f t="array" aca="1" ref="G50:I50" ca="1">OFFSET($P$3,MATCH($F50,$P:$P,0)-3,1,1,3)</f>
        <v>0.93840000000000001</v>
      </c>
      <c r="H50" s="10">
        <f ca="1"/>
        <v>0.44119999999999998</v>
      </c>
      <c r="I50" s="10">
        <f ca="1"/>
        <v>2.4000000000000001E-4</v>
      </c>
      <c r="K50" s="2">
        <v>615</v>
      </c>
      <c r="L50" s="10">
        <v>0.95074000000000003</v>
      </c>
      <c r="M50" s="10">
        <v>0.46183000000000002</v>
      </c>
      <c r="N50" s="10">
        <v>0</v>
      </c>
      <c r="P50" s="2">
        <v>407</v>
      </c>
      <c r="Q50">
        <v>2.9780000000000001E-2</v>
      </c>
      <c r="R50" s="3">
        <v>8.2549999999999995E-4</v>
      </c>
      <c r="S50">
        <v>0.14169999999999999</v>
      </c>
      <c r="U50" s="2">
        <v>575</v>
      </c>
      <c r="V50" s="10">
        <v>110.80314</v>
      </c>
      <c r="W50" s="10">
        <v>98.324349999999995</v>
      </c>
      <c r="X50" s="10">
        <v>96.061099999999996</v>
      </c>
    </row>
    <row r="51" spans="1:24">
      <c r="A51" s="2">
        <v>620</v>
      </c>
      <c r="B51" s="10">
        <v>143.61821</v>
      </c>
      <c r="C51" s="10">
        <v>99.112669999999994</v>
      </c>
      <c r="D51" s="10">
        <v>87.698700000000002</v>
      </c>
      <c r="F51" s="2">
        <v>620</v>
      </c>
      <c r="G51" s="10" cm="1">
        <f t="array" aca="1" ref="G51:I51" ca="1">OFFSET($P$3,MATCH($F51,$P:$P,0)-3,1,1,3)</f>
        <v>0.85445000000000004</v>
      </c>
      <c r="H51" s="10">
        <f ca="1"/>
        <v>0.38100000000000001</v>
      </c>
      <c r="I51" s="10">
        <f ca="1"/>
        <v>1.9000000000000001E-4</v>
      </c>
      <c r="K51" s="2">
        <v>620</v>
      </c>
      <c r="L51" s="10">
        <v>0.85629999999999995</v>
      </c>
      <c r="M51" s="10">
        <v>0.39806000000000002</v>
      </c>
      <c r="N51" s="10">
        <v>0</v>
      </c>
      <c r="P51" s="2">
        <v>408</v>
      </c>
      <c r="Q51">
        <v>3.388E-2</v>
      </c>
      <c r="R51" s="3">
        <v>9.4116000000000002E-4</v>
      </c>
      <c r="S51">
        <v>0.1613</v>
      </c>
      <c r="U51" s="2">
        <v>580</v>
      </c>
      <c r="V51" s="10">
        <v>114.43634</v>
      </c>
      <c r="W51" s="10">
        <v>98.915490000000005</v>
      </c>
      <c r="X51" s="10">
        <v>95.787999999999997</v>
      </c>
    </row>
    <row r="52" spans="1:24">
      <c r="A52" s="2">
        <v>625</v>
      </c>
      <c r="B52" s="10">
        <v>147.23528999999999</v>
      </c>
      <c r="C52" s="10">
        <v>97.455529999999996</v>
      </c>
      <c r="D52" s="10">
        <v>85.493600000000001</v>
      </c>
      <c r="F52" s="2">
        <v>625</v>
      </c>
      <c r="G52" s="10" cm="1">
        <f t="array" aca="1" ref="G52:I52" ca="1">OFFSET($P$3,MATCH($F52,$P:$P,0)-3,1,1,3)</f>
        <v>0.75139999999999996</v>
      </c>
      <c r="H52" s="10">
        <f ca="1"/>
        <v>0.32100000000000001</v>
      </c>
      <c r="I52" s="10">
        <f ca="1"/>
        <v>1E-4</v>
      </c>
      <c r="K52" s="2">
        <v>625</v>
      </c>
      <c r="L52" s="10">
        <v>0.75492999999999999</v>
      </c>
      <c r="M52" s="10">
        <v>0.33955000000000002</v>
      </c>
      <c r="N52" s="10">
        <v>0</v>
      </c>
      <c r="P52" s="2">
        <v>409</v>
      </c>
      <c r="Q52">
        <v>3.8469999999999997E-2</v>
      </c>
      <c r="R52">
        <v>1.07E-3</v>
      </c>
      <c r="S52">
        <v>0.18326000000000001</v>
      </c>
      <c r="U52" s="2">
        <v>585</v>
      </c>
      <c r="V52" s="10">
        <v>118.0801</v>
      </c>
      <c r="W52" s="10">
        <v>96.223709999999997</v>
      </c>
      <c r="X52" s="10">
        <v>92.236800000000002</v>
      </c>
    </row>
    <row r="53" spans="1:24">
      <c r="A53" s="2">
        <v>630</v>
      </c>
      <c r="B53" s="10">
        <v>150.83618999999999</v>
      </c>
      <c r="C53" s="10">
        <v>95.798379999999995</v>
      </c>
      <c r="D53" s="10">
        <v>83.288600000000002</v>
      </c>
      <c r="F53" s="2">
        <v>630</v>
      </c>
      <c r="G53" s="10" cm="1">
        <f t="array" aca="1" ref="G53:I53" ca="1">OFFSET($P$3,MATCH($F53,$P:$P,0)-3,1,1,3)</f>
        <v>0.64239999999999997</v>
      </c>
      <c r="H53" s="10">
        <f ca="1"/>
        <v>0.26500000000000001</v>
      </c>
      <c r="I53" s="10">
        <f ca="1"/>
        <v>5.0000000000000002E-5</v>
      </c>
      <c r="K53" s="2">
        <v>630</v>
      </c>
      <c r="L53" s="10">
        <v>0.64746999999999999</v>
      </c>
      <c r="M53" s="10">
        <v>0.28349000000000002</v>
      </c>
      <c r="N53" s="10">
        <v>0</v>
      </c>
      <c r="P53" s="2">
        <v>410</v>
      </c>
      <c r="Q53">
        <v>4.351E-2</v>
      </c>
      <c r="R53">
        <v>1.2099999999999999E-3</v>
      </c>
      <c r="S53">
        <v>0.2074</v>
      </c>
      <c r="U53" s="2">
        <v>590</v>
      </c>
      <c r="V53" s="10">
        <v>121.7312</v>
      </c>
      <c r="W53" s="10">
        <v>93.531940000000006</v>
      </c>
      <c r="X53" s="10">
        <v>88.685599999999994</v>
      </c>
    </row>
    <row r="54" spans="1:24">
      <c r="A54" s="2">
        <v>635</v>
      </c>
      <c r="B54" s="10">
        <v>154.41833</v>
      </c>
      <c r="C54" s="10">
        <v>97.381169999999997</v>
      </c>
      <c r="D54" s="10">
        <v>83.493899999999996</v>
      </c>
      <c r="F54" s="2">
        <v>635</v>
      </c>
      <c r="G54" s="10" cm="1">
        <f t="array" aca="1" ref="G54:I54" ca="1">OFFSET($P$3,MATCH($F54,$P:$P,0)-3,1,1,3)</f>
        <v>0.54190000000000005</v>
      </c>
      <c r="H54" s="10">
        <f ca="1"/>
        <v>0.217</v>
      </c>
      <c r="I54" s="10">
        <f ca="1"/>
        <v>3.0000000000000001E-5</v>
      </c>
      <c r="K54" s="2">
        <v>635</v>
      </c>
      <c r="L54" s="10">
        <v>0.53510999999999997</v>
      </c>
      <c r="M54" s="10">
        <v>0.22825000000000001</v>
      </c>
      <c r="N54" s="10">
        <v>0</v>
      </c>
      <c r="P54" s="2">
        <v>411</v>
      </c>
      <c r="Q54">
        <v>4.9000000000000002E-2</v>
      </c>
      <c r="R54">
        <v>1.3600000000000001E-3</v>
      </c>
      <c r="S54">
        <v>0.23369000000000001</v>
      </c>
      <c r="U54" s="2">
        <v>595</v>
      </c>
      <c r="V54" s="10">
        <v>125.38645</v>
      </c>
      <c r="W54" s="10">
        <v>95.634209999999996</v>
      </c>
      <c r="X54" s="10">
        <v>89.3459</v>
      </c>
    </row>
    <row r="55" spans="1:24">
      <c r="A55" s="2">
        <v>640</v>
      </c>
      <c r="B55" s="10">
        <v>157.97918999999999</v>
      </c>
      <c r="C55" s="10">
        <v>98.96396</v>
      </c>
      <c r="D55" s="10">
        <v>83.699200000000005</v>
      </c>
      <c r="F55" s="2">
        <v>640</v>
      </c>
      <c r="G55" s="10" cm="1">
        <f t="array" aca="1" ref="G55:I55" ca="1">OFFSET($P$3,MATCH($F55,$P:$P,0)-3,1,1,3)</f>
        <v>0.44790000000000002</v>
      </c>
      <c r="H55" s="10">
        <f ca="1"/>
        <v>0.17499999999999999</v>
      </c>
      <c r="I55" s="10">
        <f ca="1"/>
        <v>2.0000000000000002E-5</v>
      </c>
      <c r="K55" s="2">
        <v>640</v>
      </c>
      <c r="L55" s="10">
        <v>0.43157000000000001</v>
      </c>
      <c r="M55" s="10">
        <v>0.17982999999999999</v>
      </c>
      <c r="N55" s="10">
        <v>0</v>
      </c>
      <c r="P55" s="2">
        <v>412</v>
      </c>
      <c r="Q55">
        <v>5.5019999999999999E-2</v>
      </c>
      <c r="R55">
        <v>1.5299999999999999E-3</v>
      </c>
      <c r="S55">
        <v>0.26261000000000001</v>
      </c>
      <c r="U55" s="2">
        <v>600</v>
      </c>
      <c r="V55" s="10">
        <v>129.04274000000001</v>
      </c>
      <c r="W55" s="10">
        <v>97.736469999999997</v>
      </c>
      <c r="X55" s="10">
        <v>90.006200000000007</v>
      </c>
    </row>
    <row r="56" spans="1:24">
      <c r="A56" s="2">
        <v>645</v>
      </c>
      <c r="B56" s="10">
        <v>161.51635999999999</v>
      </c>
      <c r="C56" s="10">
        <v>97.376040000000003</v>
      </c>
      <c r="D56" s="10">
        <v>81.863</v>
      </c>
      <c r="F56" s="2">
        <v>645</v>
      </c>
      <c r="G56" s="10" cm="1">
        <f t="array" aca="1" ref="G56:I56" ca="1">OFFSET($P$3,MATCH($F56,$P:$P,0)-3,1,1,3)</f>
        <v>0.36080000000000001</v>
      </c>
      <c r="H56" s="10">
        <f ca="1"/>
        <v>0.13819999999999999</v>
      </c>
      <c r="I56" s="10">
        <f ca="1"/>
        <v>1.0000000000000001E-5</v>
      </c>
      <c r="K56" s="2">
        <v>645</v>
      </c>
      <c r="L56" s="10">
        <v>0.34369</v>
      </c>
      <c r="M56" s="10">
        <v>0.14021</v>
      </c>
      <c r="N56" s="10">
        <v>0</v>
      </c>
      <c r="P56" s="2">
        <v>413</v>
      </c>
      <c r="Q56">
        <v>6.1719999999999997E-2</v>
      </c>
      <c r="R56">
        <v>1.72E-3</v>
      </c>
      <c r="S56">
        <v>0.29476999999999998</v>
      </c>
      <c r="U56" s="2">
        <v>605</v>
      </c>
      <c r="V56" s="10">
        <v>132.69701000000001</v>
      </c>
      <c r="W56" s="10">
        <v>98.534419999999997</v>
      </c>
      <c r="X56" s="10">
        <v>89.802599999999998</v>
      </c>
    </row>
    <row r="57" spans="1:24">
      <c r="A57" s="2">
        <v>650</v>
      </c>
      <c r="B57" s="10">
        <v>165.02751000000001</v>
      </c>
      <c r="C57" s="10">
        <v>95.788110000000003</v>
      </c>
      <c r="D57" s="10">
        <v>80.026799999999994</v>
      </c>
      <c r="F57" s="2">
        <v>650</v>
      </c>
      <c r="G57" s="10" cm="1">
        <f t="array" aca="1" ref="G57:I57" ca="1">OFFSET($P$3,MATCH($F57,$P:$P,0)-3,1,1,3)</f>
        <v>0.28349999999999997</v>
      </c>
      <c r="H57" s="10">
        <f ca="1"/>
        <v>0.107</v>
      </c>
      <c r="I57" s="10">
        <f ca="1"/>
        <v>0</v>
      </c>
      <c r="K57" s="2">
        <v>650</v>
      </c>
      <c r="L57" s="10">
        <v>0.26833000000000001</v>
      </c>
      <c r="M57" s="10">
        <v>0.10763</v>
      </c>
      <c r="N57" s="10">
        <v>0</v>
      </c>
      <c r="P57" s="2">
        <v>414</v>
      </c>
      <c r="Q57">
        <v>6.9209999999999994E-2</v>
      </c>
      <c r="R57">
        <v>1.9400000000000001E-3</v>
      </c>
      <c r="S57">
        <v>0.33079999999999998</v>
      </c>
      <c r="U57" s="2">
        <v>610</v>
      </c>
      <c r="V57" s="10">
        <v>136.34627</v>
      </c>
      <c r="W57" s="10">
        <v>99.332369999999997</v>
      </c>
      <c r="X57" s="10">
        <v>89.599100000000007</v>
      </c>
    </row>
    <row r="58" spans="1:24">
      <c r="A58" s="2">
        <v>655</v>
      </c>
      <c r="B58" s="10">
        <v>168.51041000000001</v>
      </c>
      <c r="C58" s="10">
        <v>97.061359999999993</v>
      </c>
      <c r="D58" s="10">
        <v>80.120699999999999</v>
      </c>
      <c r="F58" s="2">
        <v>655</v>
      </c>
      <c r="G58" s="10" cm="1">
        <f t="array" aca="1" ref="G58:I58" ca="1">OFFSET($P$3,MATCH($F58,$P:$P,0)-3,1,1,3)</f>
        <v>0.21870000000000001</v>
      </c>
      <c r="H58" s="10">
        <f ca="1"/>
        <v>8.1600000000000006E-2</v>
      </c>
      <c r="I58" s="10">
        <f ca="1"/>
        <v>0</v>
      </c>
      <c r="K58" s="2">
        <v>655</v>
      </c>
      <c r="L58" s="10">
        <v>0.20430000000000001</v>
      </c>
      <c r="M58" s="10">
        <v>8.1189999999999998E-2</v>
      </c>
      <c r="N58" s="10">
        <v>0</v>
      </c>
      <c r="P58" s="2">
        <v>415</v>
      </c>
      <c r="Q58">
        <v>7.7630000000000005E-2</v>
      </c>
      <c r="R58">
        <v>2.1800000000000001E-3</v>
      </c>
      <c r="S58">
        <v>0.37130000000000002</v>
      </c>
      <c r="U58" s="2">
        <v>615</v>
      </c>
      <c r="V58" s="10">
        <v>139.98760999999999</v>
      </c>
      <c r="W58" s="10">
        <v>99.222520000000003</v>
      </c>
      <c r="X58" s="10">
        <v>88.648899999999998</v>
      </c>
    </row>
    <row r="59" spans="1:24">
      <c r="A59" s="2">
        <v>660</v>
      </c>
      <c r="B59" s="10">
        <v>171.96292</v>
      </c>
      <c r="C59" s="10">
        <v>98.334599999999995</v>
      </c>
      <c r="D59" s="10">
        <v>80.214600000000004</v>
      </c>
      <c r="F59" s="2">
        <v>660</v>
      </c>
      <c r="G59" s="10" cm="1">
        <f t="array" aca="1" ref="G59:I59" ca="1">OFFSET($P$3,MATCH($F59,$P:$P,0)-3,1,1,3)</f>
        <v>0.16489999999999999</v>
      </c>
      <c r="H59" s="10">
        <f ca="1"/>
        <v>6.0999999999999999E-2</v>
      </c>
      <c r="I59" s="10">
        <f ca="1"/>
        <v>0</v>
      </c>
      <c r="K59" s="2">
        <v>660</v>
      </c>
      <c r="L59" s="10">
        <v>0.15257000000000001</v>
      </c>
      <c r="M59" s="10">
        <v>6.028E-2</v>
      </c>
      <c r="N59" s="10">
        <v>0</v>
      </c>
      <c r="P59" s="2">
        <v>416</v>
      </c>
      <c r="Q59">
        <v>8.6959999999999996E-2</v>
      </c>
      <c r="R59">
        <v>2.4499999999999999E-3</v>
      </c>
      <c r="S59">
        <v>0.41621000000000002</v>
      </c>
      <c r="U59" s="2">
        <v>620</v>
      </c>
      <c r="V59" s="10">
        <v>143.61821</v>
      </c>
      <c r="W59" s="10">
        <v>99.112669999999994</v>
      </c>
      <c r="X59" s="10">
        <v>87.698700000000002</v>
      </c>
    </row>
    <row r="60" spans="1:24">
      <c r="A60" s="2">
        <v>665</v>
      </c>
      <c r="B60" s="10">
        <v>175.38298</v>
      </c>
      <c r="C60" s="10">
        <v>100.75087000000001</v>
      </c>
      <c r="D60" s="10">
        <v>81.246200000000002</v>
      </c>
      <c r="F60" s="2">
        <v>665</v>
      </c>
      <c r="G60" s="10" cm="1">
        <f t="array" aca="1" ref="G60:I60" ca="1">OFFSET($P$3,MATCH($F60,$P:$P,0)-3,1,1,3)</f>
        <v>0.1212</v>
      </c>
      <c r="H60" s="10">
        <f ca="1"/>
        <v>4.4580000000000002E-2</v>
      </c>
      <c r="I60" s="10">
        <f ca="1"/>
        <v>0</v>
      </c>
      <c r="K60" s="2">
        <v>665</v>
      </c>
      <c r="L60" s="10">
        <v>0.11221</v>
      </c>
      <c r="M60" s="10">
        <v>4.41E-2</v>
      </c>
      <c r="N60" s="10">
        <v>0</v>
      </c>
      <c r="P60" s="2">
        <v>417</v>
      </c>
      <c r="Q60">
        <v>9.7180000000000002E-2</v>
      </c>
      <c r="R60">
        <v>2.7599999999999999E-3</v>
      </c>
      <c r="S60">
        <v>0.46545999999999998</v>
      </c>
      <c r="U60" s="2">
        <v>625</v>
      </c>
      <c r="V60" s="10">
        <v>147.23528999999999</v>
      </c>
      <c r="W60" s="10">
        <v>97.455529999999996</v>
      </c>
      <c r="X60" s="10">
        <v>85.493600000000001</v>
      </c>
    </row>
    <row r="61" spans="1:24">
      <c r="A61" s="2">
        <v>670</v>
      </c>
      <c r="B61" s="10">
        <v>178.76862</v>
      </c>
      <c r="C61" s="10">
        <v>103.16714</v>
      </c>
      <c r="D61" s="10">
        <v>82.277799999999999</v>
      </c>
      <c r="F61" s="2">
        <v>670</v>
      </c>
      <c r="G61" s="10" cm="1">
        <f t="array" aca="1" ref="G61:I61" ca="1">OFFSET($P$3,MATCH($F61,$P:$P,0)-3,1,1,3)</f>
        <v>8.7400000000000005E-2</v>
      </c>
      <c r="H61" s="10">
        <f ca="1"/>
        <v>3.2000000000000001E-2</v>
      </c>
      <c r="I61" s="10">
        <f ca="1"/>
        <v>0</v>
      </c>
      <c r="K61" s="2">
        <v>670</v>
      </c>
      <c r="L61" s="10">
        <v>8.1259999999999999E-2</v>
      </c>
      <c r="M61" s="10">
        <v>3.1800000000000002E-2</v>
      </c>
      <c r="N61" s="10">
        <v>0</v>
      </c>
      <c r="P61" s="2">
        <v>418</v>
      </c>
      <c r="Q61">
        <v>0.10841000000000001</v>
      </c>
      <c r="R61">
        <v>3.1199999999999999E-3</v>
      </c>
      <c r="S61">
        <v>0.51968999999999999</v>
      </c>
      <c r="U61" s="2">
        <v>630</v>
      </c>
      <c r="V61" s="10">
        <v>150.83618999999999</v>
      </c>
      <c r="W61" s="10">
        <v>95.798379999999995</v>
      </c>
      <c r="X61" s="10">
        <v>83.288600000000002</v>
      </c>
    </row>
    <row r="62" spans="1:24">
      <c r="A62" s="2">
        <v>675</v>
      </c>
      <c r="B62" s="10">
        <v>182.11797000000001</v>
      </c>
      <c r="C62" s="10">
        <v>101.23717000000001</v>
      </c>
      <c r="D62" s="10">
        <v>80.281000000000006</v>
      </c>
      <c r="F62" s="2">
        <v>675</v>
      </c>
      <c r="G62" s="10" cm="1">
        <f t="array" aca="1" ref="G62:I62" ca="1">OFFSET($P$3,MATCH($F62,$P:$P,0)-3,1,1,3)</f>
        <v>6.3600000000000004E-2</v>
      </c>
      <c r="H62" s="10">
        <f ca="1"/>
        <v>2.3199999999999998E-2</v>
      </c>
      <c r="I62" s="10">
        <f ca="1"/>
        <v>0</v>
      </c>
      <c r="K62" s="2">
        <v>675</v>
      </c>
      <c r="L62" s="10">
        <v>5.7930000000000002E-2</v>
      </c>
      <c r="M62" s="10">
        <v>2.2599999999999999E-2</v>
      </c>
      <c r="N62" s="10">
        <v>0</v>
      </c>
      <c r="P62" s="2">
        <v>419</v>
      </c>
      <c r="Q62">
        <v>0.12077</v>
      </c>
      <c r="R62">
        <v>3.5300000000000002E-3</v>
      </c>
      <c r="S62">
        <v>0.57952999999999999</v>
      </c>
      <c r="U62" s="2">
        <v>635</v>
      </c>
      <c r="V62" s="10">
        <v>154.41833</v>
      </c>
      <c r="W62" s="10">
        <v>97.381169999999997</v>
      </c>
      <c r="X62" s="10">
        <v>83.493899999999996</v>
      </c>
    </row>
    <row r="63" spans="1:24">
      <c r="A63" s="2">
        <v>680</v>
      </c>
      <c r="B63" s="10">
        <v>185.42926</v>
      </c>
      <c r="C63" s="10">
        <v>99.307209999999998</v>
      </c>
      <c r="D63" s="10">
        <v>78.284199999999998</v>
      </c>
      <c r="F63" s="2">
        <v>680</v>
      </c>
      <c r="G63" s="10" cm="1">
        <f t="array" aca="1" ref="G63:I63" ca="1">OFFSET($P$3,MATCH($F63,$P:$P,0)-3,1,1,3)</f>
        <v>4.6769999999999999E-2</v>
      </c>
      <c r="H63" s="10">
        <f ca="1"/>
        <v>1.7000000000000001E-2</v>
      </c>
      <c r="I63" s="10">
        <f ca="1"/>
        <v>0</v>
      </c>
      <c r="K63" s="2">
        <v>680</v>
      </c>
      <c r="L63" s="10">
        <v>4.0849999999999997E-2</v>
      </c>
      <c r="M63" s="10">
        <v>1.5910000000000001E-2</v>
      </c>
      <c r="N63" s="10">
        <v>0</v>
      </c>
      <c r="P63" s="2">
        <v>420</v>
      </c>
      <c r="Q63">
        <v>0.13438</v>
      </c>
      <c r="R63">
        <v>4.0000000000000001E-3</v>
      </c>
      <c r="S63">
        <v>0.64559999999999995</v>
      </c>
      <c r="U63" s="2">
        <v>640</v>
      </c>
      <c r="V63" s="10">
        <v>157.97918999999999</v>
      </c>
      <c r="W63" s="10">
        <v>98.96396</v>
      </c>
      <c r="X63" s="10">
        <v>83.699200000000005</v>
      </c>
    </row>
    <row r="64" spans="1:24">
      <c r="A64" s="2">
        <v>685</v>
      </c>
      <c r="B64" s="10">
        <v>188.70079000000001</v>
      </c>
      <c r="C64" s="10">
        <v>93.413120000000006</v>
      </c>
      <c r="D64" s="10">
        <v>74.002700000000004</v>
      </c>
      <c r="F64" s="2">
        <v>685</v>
      </c>
      <c r="G64" s="10" cm="1">
        <f t="array" aca="1" ref="G64:I64" ca="1">OFFSET($P$3,MATCH($F64,$P:$P,0)-3,1,1,3)</f>
        <v>3.2899999999999999E-2</v>
      </c>
      <c r="H64" s="10">
        <f ca="1"/>
        <v>1.192E-2</v>
      </c>
      <c r="I64" s="10">
        <f ca="1"/>
        <v>0</v>
      </c>
      <c r="K64" s="2">
        <v>685</v>
      </c>
      <c r="L64" s="10">
        <v>2.862E-2</v>
      </c>
      <c r="M64" s="10">
        <v>1.1129999999999999E-2</v>
      </c>
      <c r="N64" s="10">
        <v>0</v>
      </c>
      <c r="P64" s="2">
        <v>421</v>
      </c>
      <c r="Q64">
        <v>0.14935999999999999</v>
      </c>
      <c r="R64">
        <v>4.5500000000000002E-3</v>
      </c>
      <c r="S64">
        <v>0.71848000000000001</v>
      </c>
      <c r="U64" s="2">
        <v>645</v>
      </c>
      <c r="V64" s="10">
        <v>161.51635999999999</v>
      </c>
      <c r="W64" s="10">
        <v>97.376040000000003</v>
      </c>
      <c r="X64" s="10">
        <v>81.863</v>
      </c>
    </row>
    <row r="65" spans="1:24">
      <c r="A65" s="2">
        <v>690</v>
      </c>
      <c r="B65" s="10">
        <v>191.93095</v>
      </c>
      <c r="C65" s="10">
        <v>87.519019999999998</v>
      </c>
      <c r="D65" s="10">
        <v>69.721299999999999</v>
      </c>
      <c r="F65" s="2">
        <v>690</v>
      </c>
      <c r="G65" s="10" cm="1">
        <f t="array" aca="1" ref="G65:I65" ca="1">OFFSET($P$3,MATCH($F65,$P:$P,0)-3,1,1,3)</f>
        <v>2.2700000000000001E-2</v>
      </c>
      <c r="H65" s="10">
        <f ca="1"/>
        <v>8.2100000000000003E-3</v>
      </c>
      <c r="I65" s="10">
        <f ca="1"/>
        <v>0</v>
      </c>
      <c r="K65" s="2">
        <v>690</v>
      </c>
      <c r="L65" s="10">
        <v>1.9939999999999999E-2</v>
      </c>
      <c r="M65" s="10">
        <v>7.7499999999999999E-3</v>
      </c>
      <c r="N65" s="10">
        <v>0</v>
      </c>
      <c r="P65" s="2">
        <v>422</v>
      </c>
      <c r="Q65">
        <v>0.16539999999999999</v>
      </c>
      <c r="R65">
        <v>5.1599999999999997E-3</v>
      </c>
      <c r="S65">
        <v>0.79671000000000003</v>
      </c>
      <c r="U65" s="2">
        <v>650</v>
      </c>
      <c r="V65" s="10">
        <v>165.02751000000001</v>
      </c>
      <c r="W65" s="10">
        <v>95.788110000000003</v>
      </c>
      <c r="X65" s="10">
        <v>80.026799999999994</v>
      </c>
    </row>
    <row r="66" spans="1:24">
      <c r="A66" s="2">
        <v>695</v>
      </c>
      <c r="B66" s="10">
        <v>195.11823999999999</v>
      </c>
      <c r="C66" s="10">
        <v>89.642269999999996</v>
      </c>
      <c r="D66" s="10">
        <v>70.665199999999999</v>
      </c>
      <c r="F66" s="2">
        <v>695</v>
      </c>
      <c r="G66" s="10" cm="1">
        <f t="array" aca="1" ref="G66:I66" ca="1">OFFSET($P$3,MATCH($F66,$P:$P,0)-3,1,1,3)</f>
        <v>1.584E-2</v>
      </c>
      <c r="H66" s="10">
        <f ca="1"/>
        <v>5.7200000000000003E-3</v>
      </c>
      <c r="I66" s="10">
        <f ca="1"/>
        <v>0</v>
      </c>
      <c r="K66" s="2">
        <v>695</v>
      </c>
      <c r="L66" s="10">
        <v>1.384E-2</v>
      </c>
      <c r="M66" s="10">
        <v>5.3800000000000002E-3</v>
      </c>
      <c r="N66" s="10">
        <v>0</v>
      </c>
      <c r="P66" s="2">
        <v>423</v>
      </c>
      <c r="Q66">
        <v>0.18198</v>
      </c>
      <c r="R66">
        <v>5.8300000000000001E-3</v>
      </c>
      <c r="S66">
        <v>0.87785000000000002</v>
      </c>
      <c r="U66" s="2">
        <v>655</v>
      </c>
      <c r="V66" s="10">
        <v>168.51041000000001</v>
      </c>
      <c r="W66" s="10">
        <v>97.061359999999993</v>
      </c>
      <c r="X66" s="10">
        <v>80.120699999999999</v>
      </c>
    </row>
    <row r="67" spans="1:24">
      <c r="A67" s="2">
        <v>700</v>
      </c>
      <c r="B67" s="10">
        <v>198.26122000000001</v>
      </c>
      <c r="C67" s="10">
        <v>91.765510000000006</v>
      </c>
      <c r="D67" s="10">
        <v>71.609099999999998</v>
      </c>
      <c r="F67" s="2">
        <v>700</v>
      </c>
      <c r="G67" s="10" cm="1">
        <f t="array" aca="1" ref="G67:I67" ca="1">OFFSET($P$3,MATCH($F67,$P:$P,0)-3,1,1,3)</f>
        <v>1.136E-2</v>
      </c>
      <c r="H67" s="10">
        <f ca="1"/>
        <v>4.1000000000000003E-3</v>
      </c>
      <c r="I67" s="10">
        <f ca="1"/>
        <v>0</v>
      </c>
      <c r="K67" s="2">
        <v>700</v>
      </c>
      <c r="L67" s="10">
        <v>9.58E-3</v>
      </c>
      <c r="M67" s="10">
        <v>3.7200000000000002E-3</v>
      </c>
      <c r="N67" s="10">
        <v>0</v>
      </c>
      <c r="P67" s="2">
        <v>424</v>
      </c>
      <c r="Q67">
        <v>0.19861000000000001</v>
      </c>
      <c r="R67">
        <v>6.5500000000000003E-3</v>
      </c>
      <c r="S67">
        <v>0.95943999999999996</v>
      </c>
      <c r="U67" s="2">
        <v>660</v>
      </c>
      <c r="V67" s="10">
        <v>171.96292</v>
      </c>
      <c r="W67" s="10">
        <v>98.334599999999995</v>
      </c>
      <c r="X67" s="10">
        <v>80.214600000000004</v>
      </c>
    </row>
    <row r="68" spans="1:24">
      <c r="A68" s="2">
        <v>705</v>
      </c>
      <c r="B68" s="10">
        <v>201.35856999999999</v>
      </c>
      <c r="C68" s="10">
        <v>92.396590000000003</v>
      </c>
      <c r="D68" s="10">
        <v>72.978999999999999</v>
      </c>
      <c r="F68" s="2">
        <v>705</v>
      </c>
      <c r="G68" s="10" cm="1">
        <f t="array" aca="1" ref="G68:I68" ca="1">OFFSET($P$3,MATCH($F68,$P:$P,0)-3,1,1,3)</f>
        <v>8.1099999999999992E-3</v>
      </c>
      <c r="H68" s="10">
        <f ca="1"/>
        <v>2.9299999999999999E-3</v>
      </c>
      <c r="I68" s="10">
        <f ca="1"/>
        <v>0</v>
      </c>
      <c r="K68" s="2">
        <v>705</v>
      </c>
      <c r="L68" s="10">
        <v>6.6100000000000004E-3</v>
      </c>
      <c r="M68" s="10">
        <v>2.5699999999999998E-3</v>
      </c>
      <c r="N68" s="10">
        <v>0</v>
      </c>
      <c r="P68" s="2">
        <v>425</v>
      </c>
      <c r="Q68">
        <v>0.21476999999999999</v>
      </c>
      <c r="R68">
        <v>7.3000000000000001E-3</v>
      </c>
      <c r="S68">
        <v>1.03905</v>
      </c>
      <c r="U68" s="2">
        <v>665</v>
      </c>
      <c r="V68" s="10">
        <v>175.38298</v>
      </c>
      <c r="W68" s="10">
        <v>100.75087000000001</v>
      </c>
      <c r="X68" s="10">
        <v>81.246200000000002</v>
      </c>
    </row>
    <row r="69" spans="1:24">
      <c r="A69" s="2">
        <v>710</v>
      </c>
      <c r="B69" s="10">
        <v>204.40900999999999</v>
      </c>
      <c r="C69" s="10">
        <v>93.027670000000001</v>
      </c>
      <c r="D69" s="10">
        <v>74.349000000000004</v>
      </c>
      <c r="F69" s="2">
        <v>710</v>
      </c>
      <c r="G69" s="10" cm="1">
        <f t="array" aca="1" ref="G69:I69" ca="1">OFFSET($P$3,MATCH($F69,$P:$P,0)-3,1,1,3)</f>
        <v>5.79E-3</v>
      </c>
      <c r="H69" s="10">
        <f ca="1"/>
        <v>2.0899999999999998E-3</v>
      </c>
      <c r="I69" s="10">
        <f ca="1"/>
        <v>0</v>
      </c>
      <c r="K69" s="2">
        <v>710</v>
      </c>
      <c r="L69" s="10">
        <v>4.5500000000000002E-3</v>
      </c>
      <c r="M69" s="10">
        <v>1.7700000000000001E-3</v>
      </c>
      <c r="N69" s="10">
        <v>0</v>
      </c>
      <c r="P69" s="2">
        <v>426</v>
      </c>
      <c r="Q69">
        <v>0.23019000000000001</v>
      </c>
      <c r="R69">
        <v>8.09E-3</v>
      </c>
      <c r="S69">
        <v>1.11537</v>
      </c>
      <c r="U69" s="2">
        <v>670</v>
      </c>
      <c r="V69" s="10">
        <v>178.76862</v>
      </c>
      <c r="W69" s="10">
        <v>103.16714</v>
      </c>
      <c r="X69" s="10">
        <v>82.277799999999999</v>
      </c>
    </row>
    <row r="70" spans="1:24">
      <c r="A70" s="2">
        <v>715</v>
      </c>
      <c r="B70" s="10">
        <v>207.41138000000001</v>
      </c>
      <c r="C70" s="10">
        <v>84.998339999999999</v>
      </c>
      <c r="D70" s="10">
        <v>67.976500000000001</v>
      </c>
      <c r="F70" s="2">
        <v>715</v>
      </c>
      <c r="G70" s="10" cm="1">
        <f t="array" aca="1" ref="G70:I70" ca="1">OFFSET($P$3,MATCH($F70,$P:$P,0)-3,1,1,3)</f>
        <v>4.1099999999999999E-3</v>
      </c>
      <c r="H70" s="10">
        <f ca="1"/>
        <v>1.48E-3</v>
      </c>
      <c r="I70" s="10">
        <f ca="1"/>
        <v>0</v>
      </c>
      <c r="K70" s="2">
        <v>715</v>
      </c>
      <c r="L70" s="10">
        <v>3.15E-3</v>
      </c>
      <c r="M70" s="10">
        <v>1.2199999999999999E-3</v>
      </c>
      <c r="N70" s="10">
        <v>0</v>
      </c>
      <c r="P70" s="2">
        <v>427</v>
      </c>
      <c r="Q70">
        <v>0.24487999999999999</v>
      </c>
      <c r="R70">
        <v>8.9099999999999995E-3</v>
      </c>
      <c r="S70">
        <v>1.1884999999999999</v>
      </c>
      <c r="U70" s="2">
        <v>675</v>
      </c>
      <c r="V70" s="10">
        <v>182.11797000000001</v>
      </c>
      <c r="W70" s="10">
        <v>101.23717000000001</v>
      </c>
      <c r="X70" s="10">
        <v>80.281000000000006</v>
      </c>
    </row>
    <row r="71" spans="1:24">
      <c r="A71" s="2">
        <v>720</v>
      </c>
      <c r="B71" s="10">
        <v>210.36458999999999</v>
      </c>
      <c r="C71" s="10">
        <v>76.96902</v>
      </c>
      <c r="D71" s="10">
        <v>61.603999999999999</v>
      </c>
      <c r="F71" s="2">
        <v>720</v>
      </c>
      <c r="G71" s="10" cm="1">
        <f t="array" aca="1" ref="G71:I71" ca="1">OFFSET($P$3,MATCH($F71,$P:$P,0)-3,1,1,3)</f>
        <v>2.8999999999999998E-3</v>
      </c>
      <c r="H71" s="10">
        <f ca="1"/>
        <v>1.0499999999999999E-3</v>
      </c>
      <c r="I71" s="10">
        <f ca="1"/>
        <v>0</v>
      </c>
      <c r="K71" s="2">
        <v>720</v>
      </c>
      <c r="L71" s="10">
        <v>2.1800000000000001E-3</v>
      </c>
      <c r="M71" s="10">
        <v>8.4599999999999996E-4</v>
      </c>
      <c r="N71" s="10">
        <v>0</v>
      </c>
      <c r="P71" s="2">
        <v>428</v>
      </c>
      <c r="Q71">
        <v>0.25878000000000001</v>
      </c>
      <c r="R71">
        <v>9.7699999999999992E-3</v>
      </c>
      <c r="S71">
        <v>1.2581199999999999</v>
      </c>
      <c r="U71" s="2">
        <v>680</v>
      </c>
      <c r="V71" s="10">
        <v>185.42926</v>
      </c>
      <c r="W71" s="10">
        <v>99.307209999999998</v>
      </c>
      <c r="X71" s="10">
        <v>78.284199999999998</v>
      </c>
    </row>
    <row r="72" spans="1:24">
      <c r="A72" s="2">
        <v>725</v>
      </c>
      <c r="B72" s="10">
        <v>213.26763</v>
      </c>
      <c r="C72" s="10">
        <v>81.802149999999997</v>
      </c>
      <c r="D72" s="10">
        <v>65.744799999999998</v>
      </c>
      <c r="F72" s="2">
        <v>725</v>
      </c>
      <c r="G72" s="10" cm="1">
        <f t="array" aca="1" ref="G72:I72" ca="1">OFFSET($P$3,MATCH($F72,$P:$P,0)-3,1,1,3)</f>
        <v>2.0500000000000002E-3</v>
      </c>
      <c r="H72" s="10">
        <f ca="1"/>
        <v>7.3999999999999999E-4</v>
      </c>
      <c r="I72" s="10">
        <f ca="1"/>
        <v>0</v>
      </c>
      <c r="K72" s="2">
        <v>725</v>
      </c>
      <c r="L72" s="10">
        <v>1.5100000000000001E-3</v>
      </c>
      <c r="M72" s="10">
        <v>5.8600000000000004E-4</v>
      </c>
      <c r="N72" s="10">
        <v>0</v>
      </c>
      <c r="P72" s="2">
        <v>429</v>
      </c>
      <c r="Q72">
        <v>0.27181</v>
      </c>
      <c r="R72">
        <v>1.0659999999999999E-2</v>
      </c>
      <c r="S72">
        <v>1.3239300000000001</v>
      </c>
      <c r="U72" s="2">
        <v>685</v>
      </c>
      <c r="V72" s="10">
        <v>188.70079000000001</v>
      </c>
      <c r="W72" s="10">
        <v>93.413120000000006</v>
      </c>
      <c r="X72" s="10">
        <v>74.002700000000004</v>
      </c>
    </row>
    <row r="73" spans="1:24">
      <c r="A73" s="2">
        <v>730</v>
      </c>
      <c r="B73" s="10">
        <v>216.11957000000001</v>
      </c>
      <c r="C73" s="10">
        <v>86.635279999999995</v>
      </c>
      <c r="D73" s="10">
        <v>69.885599999999997</v>
      </c>
      <c r="F73" s="2">
        <v>730</v>
      </c>
      <c r="G73" s="10" cm="1">
        <f t="array" aca="1" ref="G73:I73" ca="1">OFFSET($P$3,MATCH($F73,$P:$P,0)-3,1,1,3)</f>
        <v>1.4400000000000001E-3</v>
      </c>
      <c r="H73" s="10">
        <f ca="1"/>
        <v>5.1999999999999995E-4</v>
      </c>
      <c r="I73" s="10">
        <f ca="1"/>
        <v>0</v>
      </c>
      <c r="K73" s="2">
        <v>730</v>
      </c>
      <c r="L73" s="10">
        <v>1.0499999999999999E-3</v>
      </c>
      <c r="M73" s="10">
        <v>4.0700000000000003E-4</v>
      </c>
      <c r="N73" s="10">
        <v>0</v>
      </c>
      <c r="P73" s="2">
        <v>430</v>
      </c>
      <c r="Q73">
        <v>0.28389999999999999</v>
      </c>
      <c r="R73">
        <v>1.1599999999999999E-2</v>
      </c>
      <c r="S73">
        <v>1.3855999999999999</v>
      </c>
      <c r="U73" s="2">
        <v>690</v>
      </c>
      <c r="V73" s="10">
        <v>191.93095</v>
      </c>
      <c r="W73" s="10">
        <v>87.519019999999998</v>
      </c>
      <c r="X73" s="10">
        <v>69.721299999999999</v>
      </c>
    </row>
    <row r="74" spans="1:24">
      <c r="A74" s="2">
        <v>735</v>
      </c>
      <c r="B74" s="10">
        <v>218.91954000000001</v>
      </c>
      <c r="C74" s="10">
        <v>89.672870000000003</v>
      </c>
      <c r="D74" s="10">
        <v>72.4863</v>
      </c>
      <c r="F74" s="2">
        <v>735</v>
      </c>
      <c r="G74" s="10" cm="1">
        <f t="array" aca="1" ref="G74:I74" ca="1">OFFSET($P$3,MATCH($F74,$P:$P,0)-3,1,1,3)</f>
        <v>9.9994899999999998E-4</v>
      </c>
      <c r="H74" s="10">
        <f ca="1"/>
        <v>3.611E-4</v>
      </c>
      <c r="I74" s="10">
        <f ca="1"/>
        <v>0</v>
      </c>
      <c r="K74" s="2">
        <v>735</v>
      </c>
      <c r="L74" s="10">
        <v>7.27E-4</v>
      </c>
      <c r="M74" s="10">
        <v>2.8400000000000002E-4</v>
      </c>
      <c r="N74" s="10">
        <v>0</v>
      </c>
      <c r="P74" s="2">
        <v>431</v>
      </c>
      <c r="Q74">
        <v>0.29493999999999998</v>
      </c>
      <c r="R74">
        <v>1.257E-2</v>
      </c>
      <c r="S74">
        <v>1.4426399999999999</v>
      </c>
      <c r="U74" s="2">
        <v>695</v>
      </c>
      <c r="V74" s="10">
        <v>195.11823999999999</v>
      </c>
      <c r="W74" s="10">
        <v>89.642269999999996</v>
      </c>
      <c r="X74" s="10">
        <v>70.665199999999999</v>
      </c>
    </row>
    <row r="75" spans="1:24">
      <c r="A75" s="2">
        <v>740</v>
      </c>
      <c r="B75" s="10">
        <v>221.66677999999999</v>
      </c>
      <c r="C75" s="10">
        <v>92.710459999999998</v>
      </c>
      <c r="D75" s="10">
        <v>75.087000000000003</v>
      </c>
      <c r="F75" s="2">
        <v>740</v>
      </c>
      <c r="G75" s="10" cm="1">
        <f t="array" aca="1" ref="G75:I75" ca="1">OFFSET($P$3,MATCH($F75,$P:$P,0)-3,1,1,3)</f>
        <v>6.9007900000000002E-4</v>
      </c>
      <c r="H75" s="10">
        <f ca="1"/>
        <v>2.4919999999999999E-4</v>
      </c>
      <c r="I75" s="10">
        <f ca="1"/>
        <v>0</v>
      </c>
      <c r="K75" s="2">
        <v>740</v>
      </c>
      <c r="L75" s="10">
        <v>5.0799999999999999E-4</v>
      </c>
      <c r="M75" s="10">
        <v>1.9900000000000001E-4</v>
      </c>
      <c r="N75" s="10">
        <v>0</v>
      </c>
      <c r="P75" s="2">
        <v>432</v>
      </c>
      <c r="Q75">
        <v>0.3049</v>
      </c>
      <c r="R75">
        <v>1.358E-2</v>
      </c>
      <c r="S75">
        <v>1.4947999999999999</v>
      </c>
      <c r="U75" s="2">
        <v>700</v>
      </c>
      <c r="V75" s="10">
        <v>198.26122000000001</v>
      </c>
      <c r="W75" s="10">
        <v>91.765510000000006</v>
      </c>
      <c r="X75" s="10">
        <v>71.609099999999998</v>
      </c>
    </row>
    <row r="76" spans="1:24">
      <c r="A76" s="2">
        <v>745</v>
      </c>
      <c r="B76" s="10">
        <v>224.36055999999999</v>
      </c>
      <c r="C76" s="10">
        <v>85.524919999999995</v>
      </c>
      <c r="D76" s="10">
        <v>69.339799999999997</v>
      </c>
      <c r="F76" s="2">
        <v>745</v>
      </c>
      <c r="G76" s="10" cm="1">
        <f t="array" aca="1" ref="G76:I76" ca="1">OFFSET($P$3,MATCH($F76,$P:$P,0)-3,1,1,3)</f>
        <v>4.7602099999999997E-4</v>
      </c>
      <c r="H76" s="10">
        <f ca="1"/>
        <v>1.719E-4</v>
      </c>
      <c r="I76" s="10">
        <f ca="1"/>
        <v>0</v>
      </c>
      <c r="K76" s="2">
        <v>745</v>
      </c>
      <c r="L76" s="10">
        <v>3.5599999999999998E-4</v>
      </c>
      <c r="M76" s="10">
        <v>1.3999999999999999E-4</v>
      </c>
      <c r="N76" s="10">
        <v>0</v>
      </c>
      <c r="P76" s="2">
        <v>433</v>
      </c>
      <c r="Q76">
        <v>0.31379000000000001</v>
      </c>
      <c r="R76">
        <v>1.4630000000000001E-2</v>
      </c>
      <c r="S76">
        <v>1.5421899999999999</v>
      </c>
      <c r="U76" s="2">
        <v>705</v>
      </c>
      <c r="V76" s="10">
        <v>201.35856999999999</v>
      </c>
      <c r="W76" s="10">
        <v>92.396590000000003</v>
      </c>
      <c r="X76" s="10">
        <v>72.978999999999999</v>
      </c>
    </row>
    <row r="77" spans="1:24">
      <c r="A77" s="2">
        <v>750</v>
      </c>
      <c r="B77" s="10">
        <v>227.00026</v>
      </c>
      <c r="C77" s="10">
        <v>78.339389999999995</v>
      </c>
      <c r="D77" s="10">
        <v>63.592700000000001</v>
      </c>
      <c r="F77" s="2">
        <v>750</v>
      </c>
      <c r="G77" s="10" cm="1">
        <f t="array" aca="1" ref="G77:I77" ca="1">OFFSET($P$3,MATCH($F77,$P:$P,0)-3,1,1,3)</f>
        <v>3.3230100000000002E-4</v>
      </c>
      <c r="H77" s="10">
        <f ca="1"/>
        <v>1.2E-4</v>
      </c>
      <c r="I77" s="10">
        <f ca="1"/>
        <v>0</v>
      </c>
      <c r="K77" s="2">
        <v>750</v>
      </c>
      <c r="L77" s="10">
        <v>2.5099999999999998E-4</v>
      </c>
      <c r="M77" s="10">
        <v>9.7999999999999997E-5</v>
      </c>
      <c r="N77" s="10">
        <v>0</v>
      </c>
      <c r="P77" s="2">
        <v>434</v>
      </c>
      <c r="Q77">
        <v>0.32164999999999999</v>
      </c>
      <c r="R77">
        <v>1.5720000000000001E-2</v>
      </c>
      <c r="S77">
        <v>1.5848800000000001</v>
      </c>
      <c r="U77" s="2">
        <v>710</v>
      </c>
      <c r="V77" s="10">
        <v>204.40900999999999</v>
      </c>
      <c r="W77" s="10">
        <v>93.027670000000001</v>
      </c>
      <c r="X77" s="10">
        <v>74.349000000000004</v>
      </c>
    </row>
    <row r="78" spans="1:24">
      <c r="A78" s="2">
        <v>755</v>
      </c>
      <c r="B78" s="10">
        <v>229.58530999999999</v>
      </c>
      <c r="C78" s="10">
        <v>68.058310000000006</v>
      </c>
      <c r="D78" s="10">
        <v>55.005400000000002</v>
      </c>
      <c r="F78" s="2">
        <v>755</v>
      </c>
      <c r="G78" s="10" cm="1">
        <f t="array" aca="1" ref="G78:I78" ca="1">OFFSET($P$3,MATCH($F78,$P:$P,0)-3,1,1,3)</f>
        <v>2.3482599999999999E-4</v>
      </c>
      <c r="H78" s="10">
        <f ca="1"/>
        <v>8.4800000000000001E-5</v>
      </c>
      <c r="I78" s="10">
        <f ca="1"/>
        <v>0</v>
      </c>
      <c r="K78" s="2">
        <v>755</v>
      </c>
      <c r="L78" s="10">
        <v>1.7799999999999999E-4</v>
      </c>
      <c r="M78" s="10">
        <v>6.9999999999999994E-5</v>
      </c>
      <c r="N78" s="10">
        <v>0</v>
      </c>
      <c r="P78" s="2">
        <v>435</v>
      </c>
      <c r="Q78">
        <v>0.32850000000000001</v>
      </c>
      <c r="R78">
        <v>1.6840000000000001E-2</v>
      </c>
      <c r="S78">
        <v>1.62296</v>
      </c>
      <c r="U78" s="2">
        <v>715</v>
      </c>
      <c r="V78" s="10">
        <v>207.41138000000001</v>
      </c>
      <c r="W78" s="10">
        <v>84.998339999999999</v>
      </c>
      <c r="X78" s="10">
        <v>67.976500000000001</v>
      </c>
    </row>
    <row r="79" spans="1:24">
      <c r="A79" s="2">
        <v>760</v>
      </c>
      <c r="B79" s="10">
        <v>232.11519999999999</v>
      </c>
      <c r="C79" s="10">
        <v>57.777230000000003</v>
      </c>
      <c r="D79" s="10">
        <v>46.418199999999999</v>
      </c>
      <c r="F79" s="2">
        <v>760</v>
      </c>
      <c r="G79" s="10" cm="1">
        <f t="array" aca="1" ref="G79:I79" ca="1">OFFSET($P$3,MATCH($F79,$P:$P,0)-3,1,1,3)</f>
        <v>1.6615099999999999E-4</v>
      </c>
      <c r="H79" s="10">
        <f ca="1"/>
        <v>6.0000000000000002E-5</v>
      </c>
      <c r="I79" s="10">
        <f ca="1"/>
        <v>0</v>
      </c>
      <c r="K79" s="2">
        <v>760</v>
      </c>
      <c r="L79" s="10">
        <v>1.26E-4</v>
      </c>
      <c r="M79" s="10">
        <v>5.0000000000000002E-5</v>
      </c>
      <c r="N79" s="10">
        <v>0</v>
      </c>
      <c r="P79" s="2">
        <v>436</v>
      </c>
      <c r="Q79">
        <v>0.33434999999999998</v>
      </c>
      <c r="R79">
        <v>1.8010000000000002E-2</v>
      </c>
      <c r="S79">
        <v>1.6564000000000001</v>
      </c>
      <c r="U79" s="2">
        <v>720</v>
      </c>
      <c r="V79" s="10">
        <v>210.36458999999999</v>
      </c>
      <c r="W79" s="10">
        <v>76.96902</v>
      </c>
      <c r="X79" s="10">
        <v>61.603999999999999</v>
      </c>
    </row>
    <row r="80" spans="1:24">
      <c r="A80" s="2">
        <v>765</v>
      </c>
      <c r="B80" s="10">
        <v>234.58949999999999</v>
      </c>
      <c r="C80" s="10">
        <v>70.410709999999995</v>
      </c>
      <c r="D80" s="10">
        <v>56.611800000000002</v>
      </c>
      <c r="F80" s="2">
        <v>765</v>
      </c>
      <c r="G80" s="10" cm="1">
        <f t="array" aca="1" ref="G80:I80" ca="1">OFFSET($P$3,MATCH($F80,$P:$P,0)-3,1,1,3)</f>
        <v>1.17413E-4</v>
      </c>
      <c r="H80" s="10">
        <f ca="1"/>
        <v>4.2400000000000001E-5</v>
      </c>
      <c r="I80" s="10">
        <f ca="1"/>
        <v>0</v>
      </c>
      <c r="K80" s="2">
        <v>765</v>
      </c>
      <c r="L80" s="10">
        <v>9.0000000000000006E-5</v>
      </c>
      <c r="M80" s="10">
        <v>3.6000000000000001E-5</v>
      </c>
      <c r="N80" s="10">
        <v>0</v>
      </c>
      <c r="P80" s="2">
        <v>437</v>
      </c>
      <c r="Q80">
        <v>0.33921000000000001</v>
      </c>
      <c r="R80">
        <v>1.9210000000000001E-2</v>
      </c>
      <c r="S80">
        <v>1.6853</v>
      </c>
      <c r="U80" s="2">
        <v>725</v>
      </c>
      <c r="V80" s="10">
        <v>213.26763</v>
      </c>
      <c r="W80" s="10">
        <v>81.802149999999997</v>
      </c>
      <c r="X80" s="10">
        <v>65.744799999999998</v>
      </c>
    </row>
    <row r="81" spans="1:24">
      <c r="A81" s="2">
        <v>770</v>
      </c>
      <c r="B81" s="10">
        <v>237.00783000000001</v>
      </c>
      <c r="C81" s="10">
        <v>83.04419</v>
      </c>
      <c r="D81" s="10">
        <v>66.805400000000006</v>
      </c>
      <c r="F81" s="2">
        <v>770</v>
      </c>
      <c r="G81" s="10" cm="1">
        <f t="array" aca="1" ref="G81:I81" ca="1">OFFSET($P$3,MATCH($F81,$P:$P,0)-3,1,1,3)</f>
        <v>8.3075299999999994E-5</v>
      </c>
      <c r="H81" s="10">
        <f ca="1"/>
        <v>3.0000000000000001E-5</v>
      </c>
      <c r="I81" s="10">
        <f ca="1"/>
        <v>0</v>
      </c>
      <c r="K81" s="2">
        <v>770</v>
      </c>
      <c r="L81" s="10">
        <v>6.4999999999999994E-5</v>
      </c>
      <c r="M81" s="10">
        <v>2.5000000000000001E-5</v>
      </c>
      <c r="N81" s="10">
        <v>0</v>
      </c>
      <c r="P81" s="2">
        <v>438</v>
      </c>
      <c r="Q81">
        <v>0.34311999999999998</v>
      </c>
      <c r="R81">
        <v>2.0449999999999999E-2</v>
      </c>
      <c r="S81">
        <v>1.70987</v>
      </c>
      <c r="U81" s="2">
        <v>730</v>
      </c>
      <c r="V81" s="10">
        <v>216.11957000000001</v>
      </c>
      <c r="W81" s="10">
        <v>86.635279999999995</v>
      </c>
      <c r="X81" s="10">
        <v>69.885599999999997</v>
      </c>
    </row>
    <row r="82" spans="1:24">
      <c r="A82" s="2">
        <v>775</v>
      </c>
      <c r="B82" s="10">
        <v>239.36987999999999</v>
      </c>
      <c r="C82" s="10">
        <v>80.714560000000006</v>
      </c>
      <c r="D82" s="10">
        <v>65.094099999999997</v>
      </c>
      <c r="F82" s="2">
        <v>775</v>
      </c>
      <c r="G82" s="10" cm="1">
        <f t="array" aca="1" ref="G82:I82" ca="1">OFFSET($P$3,MATCH($F82,$P:$P,0)-3,1,1,3)</f>
        <v>5.8706499999999998E-5</v>
      </c>
      <c r="H82" s="10">
        <f ca="1"/>
        <v>2.12E-5</v>
      </c>
      <c r="I82" s="10">
        <f ca="1"/>
        <v>0</v>
      </c>
      <c r="K82" s="2">
        <v>775</v>
      </c>
      <c r="L82" s="10">
        <v>4.6E-5</v>
      </c>
      <c r="M82" s="10">
        <v>1.8E-5</v>
      </c>
      <c r="N82" s="10">
        <v>0</v>
      </c>
      <c r="P82" s="2">
        <v>439</v>
      </c>
      <c r="Q82">
        <v>0.34612999999999999</v>
      </c>
      <c r="R82">
        <v>2.172E-2</v>
      </c>
      <c r="S82">
        <v>1.73038</v>
      </c>
      <c r="U82" s="2">
        <v>735</v>
      </c>
      <c r="V82" s="10">
        <v>218.91954000000001</v>
      </c>
      <c r="W82" s="10">
        <v>89.672870000000003</v>
      </c>
      <c r="X82" s="10">
        <v>72.4863</v>
      </c>
    </row>
    <row r="83" spans="1:24">
      <c r="A83" s="2">
        <v>780</v>
      </c>
      <c r="B83" s="10">
        <v>241.67538999999999</v>
      </c>
      <c r="C83" s="10">
        <v>78.38494</v>
      </c>
      <c r="D83" s="10">
        <v>63.382800000000003</v>
      </c>
      <c r="F83" s="2">
        <v>780</v>
      </c>
      <c r="G83" s="10" cm="1">
        <f t="array" aca="1" ref="G83:I83" ca="1">OFFSET($P$3,MATCH($F83,$P:$P,0)-3,1,1,3)</f>
        <v>4.15099E-5</v>
      </c>
      <c r="H83" s="10">
        <f ca="1"/>
        <v>1.499E-5</v>
      </c>
      <c r="I83" s="10">
        <f ca="1"/>
        <v>0</v>
      </c>
      <c r="K83" s="2">
        <v>780</v>
      </c>
      <c r="L83" s="10">
        <v>3.3000000000000003E-5</v>
      </c>
      <c r="M83" s="10">
        <v>1.2999999999999999E-5</v>
      </c>
      <c r="N83" s="10">
        <v>0</v>
      </c>
      <c r="P83" s="2">
        <v>440</v>
      </c>
      <c r="Q83">
        <v>0.34827999999999998</v>
      </c>
      <c r="R83">
        <v>2.3E-2</v>
      </c>
      <c r="S83">
        <v>1.7470600000000001</v>
      </c>
      <c r="U83" s="2">
        <v>740</v>
      </c>
      <c r="V83" s="10">
        <v>221.66677999999999</v>
      </c>
      <c r="W83" s="10">
        <v>92.710459999999998</v>
      </c>
      <c r="X83" s="10">
        <v>75.087000000000003</v>
      </c>
    </row>
    <row r="84" spans="1:24">
      <c r="B84" s="10"/>
      <c r="C84" s="10"/>
      <c r="D84" s="10"/>
      <c r="P84" s="2">
        <v>441</v>
      </c>
      <c r="Q84">
        <v>0.34960000000000002</v>
      </c>
      <c r="R84">
        <v>2.4289999999999999E-2</v>
      </c>
      <c r="S84">
        <v>1.76004</v>
      </c>
      <c r="U84" s="2">
        <v>745</v>
      </c>
      <c r="V84" s="10">
        <v>224.36055999999999</v>
      </c>
      <c r="W84" s="10">
        <v>85.524919999999995</v>
      </c>
      <c r="X84" s="10">
        <v>69.339799999999997</v>
      </c>
    </row>
    <row r="85" spans="1:24">
      <c r="B85" s="10"/>
      <c r="C85" s="10"/>
      <c r="D85" s="10"/>
      <c r="P85" s="2">
        <v>442</v>
      </c>
      <c r="Q85">
        <v>0.35015000000000002</v>
      </c>
      <c r="R85">
        <v>2.5610000000000001E-2</v>
      </c>
      <c r="S85">
        <v>1.76962</v>
      </c>
      <c r="U85" s="2">
        <v>750</v>
      </c>
      <c r="V85" s="10">
        <v>227.00026</v>
      </c>
      <c r="W85" s="10">
        <v>78.339389999999995</v>
      </c>
      <c r="X85" s="10">
        <v>63.592700000000001</v>
      </c>
    </row>
    <row r="86" spans="1:24">
      <c r="B86" s="10"/>
      <c r="C86" s="10"/>
      <c r="D86" s="10"/>
      <c r="P86" s="2">
        <v>443</v>
      </c>
      <c r="Q86">
        <v>0.35000999999999999</v>
      </c>
      <c r="R86">
        <v>2.6960000000000001E-2</v>
      </c>
      <c r="S86">
        <v>1.77626</v>
      </c>
      <c r="U86" s="2">
        <v>755</v>
      </c>
      <c r="V86" s="10">
        <v>229.58530999999999</v>
      </c>
      <c r="W86" s="10">
        <v>68.058310000000006</v>
      </c>
      <c r="X86" s="10">
        <v>55.005400000000002</v>
      </c>
    </row>
    <row r="87" spans="1:24">
      <c r="B87" s="10"/>
      <c r="C87" s="10"/>
      <c r="D87" s="10"/>
      <c r="P87" s="2">
        <v>444</v>
      </c>
      <c r="Q87">
        <v>0.34928999999999999</v>
      </c>
      <c r="R87">
        <v>2.835E-2</v>
      </c>
      <c r="S87">
        <v>1.78043</v>
      </c>
      <c r="U87" s="2">
        <v>760</v>
      </c>
      <c r="V87" s="10">
        <v>232.11519999999999</v>
      </c>
      <c r="W87" s="10">
        <v>57.777230000000003</v>
      </c>
      <c r="X87" s="10">
        <v>46.418199999999999</v>
      </c>
    </row>
    <row r="88" spans="1:24">
      <c r="B88" s="10"/>
      <c r="C88" s="10"/>
      <c r="D88" s="10"/>
      <c r="P88" s="2">
        <v>445</v>
      </c>
      <c r="Q88">
        <v>0.34805999999999998</v>
      </c>
      <c r="R88">
        <v>2.98E-2</v>
      </c>
      <c r="S88">
        <v>1.7826</v>
      </c>
      <c r="U88" s="2">
        <v>765</v>
      </c>
      <c r="V88" s="10">
        <v>234.58949999999999</v>
      </c>
      <c r="W88" s="10">
        <v>70.410709999999995</v>
      </c>
      <c r="X88" s="10">
        <v>56.611800000000002</v>
      </c>
    </row>
    <row r="89" spans="1:24">
      <c r="B89" s="10"/>
      <c r="C89" s="10"/>
      <c r="D89" s="10"/>
      <c r="P89" s="2">
        <v>446</v>
      </c>
      <c r="Q89">
        <v>0.34637000000000001</v>
      </c>
      <c r="R89">
        <v>3.1309999999999998E-2</v>
      </c>
      <c r="S89">
        <v>1.7829699999999999</v>
      </c>
      <c r="U89" s="2">
        <v>770</v>
      </c>
      <c r="V89" s="10">
        <v>237.00783000000001</v>
      </c>
      <c r="W89" s="10">
        <v>83.04419</v>
      </c>
      <c r="X89" s="10">
        <v>66.805400000000006</v>
      </c>
    </row>
    <row r="90" spans="1:24">
      <c r="B90" s="10"/>
      <c r="C90" s="10"/>
      <c r="D90" s="10"/>
      <c r="P90" s="2">
        <v>447</v>
      </c>
      <c r="Q90">
        <v>0.34426000000000001</v>
      </c>
      <c r="R90">
        <v>3.288E-2</v>
      </c>
      <c r="S90">
        <v>1.7817000000000001</v>
      </c>
      <c r="U90" s="2">
        <v>775</v>
      </c>
      <c r="V90" s="10">
        <v>239.36987999999999</v>
      </c>
      <c r="W90" s="10">
        <v>80.714560000000006</v>
      </c>
      <c r="X90" s="10">
        <v>65.094099999999997</v>
      </c>
    </row>
    <row r="91" spans="1:24">
      <c r="B91" s="10"/>
      <c r="C91" s="10"/>
      <c r="D91" s="10"/>
      <c r="P91" s="2">
        <v>448</v>
      </c>
      <c r="Q91">
        <v>0.34181</v>
      </c>
      <c r="R91">
        <v>3.4520000000000002E-2</v>
      </c>
      <c r="S91">
        <v>1.7791999999999999</v>
      </c>
      <c r="U91" s="2">
        <v>780</v>
      </c>
      <c r="V91" s="10">
        <v>241.67538999999999</v>
      </c>
      <c r="W91" s="10">
        <v>78.38494</v>
      </c>
      <c r="X91" s="10">
        <v>63.382800000000003</v>
      </c>
    </row>
    <row r="92" spans="1:24">
      <c r="B92" s="10"/>
      <c r="C92" s="10"/>
      <c r="D92" s="10"/>
      <c r="P92" s="2">
        <v>449</v>
      </c>
      <c r="Q92">
        <v>0.33909</v>
      </c>
      <c r="R92">
        <v>3.6229999999999998E-2</v>
      </c>
      <c r="S92">
        <v>1.7758700000000001</v>
      </c>
      <c r="U92" s="2">
        <v>785</v>
      </c>
      <c r="V92" s="10">
        <v>243.92416</v>
      </c>
      <c r="W92" s="10">
        <v>79.026979999999995</v>
      </c>
      <c r="X92" s="10">
        <v>63.843400000000003</v>
      </c>
    </row>
    <row r="93" spans="1:24">
      <c r="B93" s="10"/>
      <c r="C93" s="10"/>
      <c r="D93" s="10"/>
      <c r="P93" s="2">
        <v>450</v>
      </c>
      <c r="Q93">
        <v>0.3362</v>
      </c>
      <c r="R93">
        <v>3.7999999999999999E-2</v>
      </c>
      <c r="S93">
        <v>1.7721100000000001</v>
      </c>
      <c r="U93" s="2">
        <v>790</v>
      </c>
      <c r="V93" s="10">
        <v>246.11605</v>
      </c>
      <c r="W93" s="10">
        <v>79.669020000000003</v>
      </c>
      <c r="X93" s="10">
        <v>64.304000000000002</v>
      </c>
    </row>
    <row r="94" spans="1:24">
      <c r="P94" s="2">
        <v>451</v>
      </c>
      <c r="Q94">
        <v>0.3332</v>
      </c>
      <c r="R94">
        <v>3.9849999999999997E-2</v>
      </c>
      <c r="S94">
        <v>1.7682599999999999</v>
      </c>
      <c r="U94" s="2">
        <v>795</v>
      </c>
      <c r="V94" s="10">
        <v>248.25097</v>
      </c>
      <c r="W94" s="10">
        <v>76.587639999999993</v>
      </c>
      <c r="X94" s="10">
        <v>61.877899999999997</v>
      </c>
    </row>
    <row r="95" spans="1:24">
      <c r="P95" s="2">
        <v>452</v>
      </c>
      <c r="Q95">
        <v>0.33004</v>
      </c>
      <c r="R95">
        <v>4.1770000000000002E-2</v>
      </c>
      <c r="S95">
        <v>1.7640400000000001</v>
      </c>
      <c r="U95" s="2">
        <v>800</v>
      </c>
      <c r="V95" s="10">
        <v>250.32886999999999</v>
      </c>
      <c r="W95" s="10">
        <v>73.506259999999997</v>
      </c>
      <c r="X95" s="10">
        <v>59.451900000000002</v>
      </c>
    </row>
    <row r="96" spans="1:24">
      <c r="P96" s="2">
        <v>453</v>
      </c>
      <c r="Q96">
        <v>0.32663999999999999</v>
      </c>
      <c r="R96">
        <v>4.3770000000000003E-2</v>
      </c>
      <c r="S96">
        <v>1.7589399999999999</v>
      </c>
      <c r="U96" s="2">
        <v>805</v>
      </c>
      <c r="V96" s="10">
        <v>252.34976</v>
      </c>
      <c r="W96" s="10">
        <v>68.758309999999994</v>
      </c>
      <c r="X96" s="10">
        <v>55.705399999999997</v>
      </c>
    </row>
    <row r="97" spans="16:24">
      <c r="P97" s="2">
        <v>454</v>
      </c>
      <c r="Q97">
        <v>0.32289000000000001</v>
      </c>
      <c r="R97">
        <v>4.5839999999999999E-2</v>
      </c>
      <c r="S97">
        <v>1.75247</v>
      </c>
      <c r="U97" s="2">
        <v>810</v>
      </c>
      <c r="V97" s="10">
        <v>254.31369000000001</v>
      </c>
      <c r="W97" s="10">
        <v>64.010369999999995</v>
      </c>
      <c r="X97" s="10">
        <v>51.959000000000003</v>
      </c>
    </row>
    <row r="98" spans="16:24">
      <c r="P98" s="2">
        <v>455</v>
      </c>
      <c r="Q98">
        <v>0.31869999999999998</v>
      </c>
      <c r="R98">
        <v>4.8000000000000001E-2</v>
      </c>
      <c r="S98">
        <v>1.7441</v>
      </c>
      <c r="U98" s="2">
        <v>815</v>
      </c>
      <c r="V98" s="10">
        <v>256.22075000000001</v>
      </c>
      <c r="W98" s="10">
        <v>67.4435</v>
      </c>
      <c r="X98" s="10">
        <v>54.699800000000003</v>
      </c>
    </row>
    <row r="99" spans="16:24">
      <c r="P99" s="2">
        <v>456</v>
      </c>
      <c r="Q99">
        <v>0.31402999999999998</v>
      </c>
      <c r="R99">
        <v>5.024E-2</v>
      </c>
      <c r="S99">
        <v>1.73356</v>
      </c>
      <c r="U99" s="2">
        <v>820</v>
      </c>
      <c r="V99" s="10">
        <v>258.07109000000003</v>
      </c>
      <c r="W99" s="10">
        <v>70.876639999999995</v>
      </c>
      <c r="X99" s="10">
        <v>57.440600000000003</v>
      </c>
    </row>
    <row r="100" spans="16:24">
      <c r="P100" s="2">
        <v>457</v>
      </c>
      <c r="Q100">
        <v>0.30887999999999999</v>
      </c>
      <c r="R100">
        <v>5.2569999999999999E-2</v>
      </c>
      <c r="S100">
        <v>1.7208600000000001</v>
      </c>
      <c r="U100" s="2">
        <v>825</v>
      </c>
      <c r="V100" s="10">
        <v>259.86488000000003</v>
      </c>
      <c r="W100" s="10">
        <v>72.712469999999996</v>
      </c>
      <c r="X100" s="10">
        <v>58.8765</v>
      </c>
    </row>
    <row r="101" spans="16:24">
      <c r="P101" s="2">
        <v>458</v>
      </c>
      <c r="Q101">
        <v>0.30329</v>
      </c>
      <c r="R101">
        <v>5.4980000000000001E-2</v>
      </c>
      <c r="S101">
        <v>1.70594</v>
      </c>
      <c r="U101" s="2">
        <v>830</v>
      </c>
      <c r="V101" s="10">
        <v>261.60234000000003</v>
      </c>
      <c r="W101" s="10">
        <v>74.548299999999998</v>
      </c>
      <c r="X101" s="10">
        <v>60.3125</v>
      </c>
    </row>
    <row r="102" spans="16:24">
      <c r="P102" s="2">
        <v>459</v>
      </c>
      <c r="Q102">
        <v>0.29726000000000002</v>
      </c>
      <c r="R102">
        <v>5.7459999999999997E-2</v>
      </c>
      <c r="S102">
        <v>1.6887399999999999</v>
      </c>
    </row>
    <row r="103" spans="16:24">
      <c r="P103" s="2">
        <v>460</v>
      </c>
      <c r="Q103">
        <v>0.2908</v>
      </c>
      <c r="R103">
        <v>0.06</v>
      </c>
      <c r="S103">
        <v>1.6692</v>
      </c>
    </row>
    <row r="104" spans="16:24">
      <c r="P104" s="2">
        <v>461</v>
      </c>
      <c r="Q104">
        <v>0.28397</v>
      </c>
      <c r="R104">
        <v>6.2600000000000003E-2</v>
      </c>
      <c r="S104">
        <v>1.6475299999999999</v>
      </c>
    </row>
    <row r="105" spans="16:24">
      <c r="P105" s="2">
        <v>462</v>
      </c>
      <c r="Q105">
        <v>0.27672000000000002</v>
      </c>
      <c r="R105">
        <v>6.5280000000000005E-2</v>
      </c>
      <c r="S105">
        <v>1.62341</v>
      </c>
    </row>
    <row r="106" spans="16:24">
      <c r="P106" s="2">
        <v>463</v>
      </c>
      <c r="Q106">
        <v>0.26891999999999999</v>
      </c>
      <c r="R106">
        <v>6.8040000000000003E-2</v>
      </c>
      <c r="S106">
        <v>1.59602</v>
      </c>
    </row>
    <row r="107" spans="16:24">
      <c r="P107" s="2">
        <v>464</v>
      </c>
      <c r="Q107">
        <v>0.26041999999999998</v>
      </c>
      <c r="R107">
        <v>7.0910000000000001E-2</v>
      </c>
      <c r="S107">
        <v>1.56453</v>
      </c>
    </row>
    <row r="108" spans="16:24">
      <c r="P108" s="2">
        <v>465</v>
      </c>
      <c r="Q108">
        <v>0.25109999999999999</v>
      </c>
      <c r="R108">
        <v>7.3899999999999993E-2</v>
      </c>
      <c r="S108">
        <v>1.5281</v>
      </c>
    </row>
    <row r="109" spans="16:24">
      <c r="P109" s="2">
        <v>466</v>
      </c>
      <c r="Q109">
        <v>0.24085000000000001</v>
      </c>
      <c r="R109">
        <v>7.7020000000000005E-2</v>
      </c>
      <c r="S109">
        <v>1.48611</v>
      </c>
    </row>
    <row r="110" spans="16:24">
      <c r="P110" s="2">
        <v>467</v>
      </c>
      <c r="Q110">
        <v>0.22985</v>
      </c>
      <c r="R110">
        <v>8.0269999999999994E-2</v>
      </c>
      <c r="S110">
        <v>1.4395199999999999</v>
      </c>
    </row>
    <row r="111" spans="16:24">
      <c r="P111" s="2">
        <v>468</v>
      </c>
      <c r="Q111">
        <v>0.21840999999999999</v>
      </c>
      <c r="R111">
        <v>8.3669999999999994E-2</v>
      </c>
      <c r="S111">
        <v>1.38988</v>
      </c>
    </row>
    <row r="112" spans="16:24">
      <c r="P112" s="2">
        <v>469</v>
      </c>
      <c r="Q112">
        <v>0.20680999999999999</v>
      </c>
      <c r="R112">
        <v>8.7230000000000002E-2</v>
      </c>
      <c r="S112">
        <v>1.33874</v>
      </c>
    </row>
    <row r="113" spans="16:19">
      <c r="P113" s="2">
        <v>470</v>
      </c>
      <c r="Q113">
        <v>0.19536000000000001</v>
      </c>
      <c r="R113">
        <v>9.0980000000000005E-2</v>
      </c>
      <c r="S113">
        <v>1.2876399999999999</v>
      </c>
    </row>
    <row r="114" spans="16:19">
      <c r="P114" s="2">
        <v>471</v>
      </c>
      <c r="Q114">
        <v>0.18421000000000001</v>
      </c>
      <c r="R114">
        <v>9.4920000000000004E-2</v>
      </c>
      <c r="S114">
        <v>1.23742</v>
      </c>
    </row>
    <row r="115" spans="16:19">
      <c r="P115" s="2">
        <v>472</v>
      </c>
      <c r="Q115">
        <v>0.17333000000000001</v>
      </c>
      <c r="R115">
        <v>9.9049999999999999E-2</v>
      </c>
      <c r="S115">
        <v>1.1878200000000001</v>
      </c>
    </row>
    <row r="116" spans="16:19">
      <c r="P116" s="2">
        <v>473</v>
      </c>
      <c r="Q116">
        <v>0.16269</v>
      </c>
      <c r="R116">
        <v>0.10337</v>
      </c>
      <c r="S116">
        <v>1.13876</v>
      </c>
    </row>
    <row r="117" spans="16:19">
      <c r="P117" s="2">
        <v>474</v>
      </c>
      <c r="Q117">
        <v>0.15228</v>
      </c>
      <c r="R117">
        <v>0.10788</v>
      </c>
      <c r="S117">
        <v>1.09015</v>
      </c>
    </row>
    <row r="118" spans="16:19">
      <c r="P118" s="2">
        <v>475</v>
      </c>
      <c r="Q118">
        <v>0.1421</v>
      </c>
      <c r="R118">
        <v>0.11260000000000001</v>
      </c>
      <c r="S118">
        <v>1.0419</v>
      </c>
    </row>
    <row r="119" spans="16:19">
      <c r="P119" s="2">
        <v>476</v>
      </c>
      <c r="Q119">
        <v>0.13217999999999999</v>
      </c>
      <c r="R119">
        <v>0.11753</v>
      </c>
      <c r="S119">
        <v>0.99419999999999997</v>
      </c>
    </row>
    <row r="120" spans="16:19">
      <c r="P120" s="2">
        <v>477</v>
      </c>
      <c r="Q120">
        <v>0.12257</v>
      </c>
      <c r="R120">
        <v>0.12267</v>
      </c>
      <c r="S120">
        <v>0.94735000000000003</v>
      </c>
    </row>
    <row r="121" spans="16:19">
      <c r="P121" s="2">
        <v>478</v>
      </c>
      <c r="Q121">
        <v>0.11328000000000001</v>
      </c>
      <c r="R121">
        <v>0.12798999999999999</v>
      </c>
      <c r="S121">
        <v>0.90144999999999997</v>
      </c>
    </row>
    <row r="122" spans="16:19">
      <c r="P122" s="2">
        <v>479</v>
      </c>
      <c r="Q122">
        <v>0.1043</v>
      </c>
      <c r="R122">
        <v>0.13345000000000001</v>
      </c>
      <c r="S122">
        <v>0.85662000000000005</v>
      </c>
    </row>
    <row r="123" spans="16:19">
      <c r="P123" s="2">
        <v>480</v>
      </c>
      <c r="Q123">
        <v>9.5640000000000003E-2</v>
      </c>
      <c r="R123">
        <v>0.13902</v>
      </c>
      <c r="S123">
        <v>0.81294999999999995</v>
      </c>
    </row>
    <row r="124" spans="16:19">
      <c r="P124" s="2">
        <v>481</v>
      </c>
      <c r="Q124">
        <v>8.7300000000000003E-2</v>
      </c>
      <c r="R124">
        <v>0.14468</v>
      </c>
      <c r="S124">
        <v>0.77051999999999998</v>
      </c>
    </row>
    <row r="125" spans="16:19">
      <c r="P125" s="2">
        <v>482</v>
      </c>
      <c r="Q125">
        <v>7.9310000000000005E-2</v>
      </c>
      <c r="R125">
        <v>0.15046999999999999</v>
      </c>
      <c r="S125">
        <v>0.72943999999999998</v>
      </c>
    </row>
    <row r="126" spans="16:19">
      <c r="P126" s="2">
        <v>483</v>
      </c>
      <c r="Q126">
        <v>7.1720000000000006E-2</v>
      </c>
      <c r="R126">
        <v>0.15645999999999999</v>
      </c>
      <c r="S126">
        <v>0.68991000000000002</v>
      </c>
    </row>
    <row r="127" spans="16:19">
      <c r="P127" s="2">
        <v>484</v>
      </c>
      <c r="Q127">
        <v>6.4579999999999999E-2</v>
      </c>
      <c r="R127">
        <v>0.16272</v>
      </c>
      <c r="S127">
        <v>0.65210000000000001</v>
      </c>
    </row>
    <row r="128" spans="16:19">
      <c r="P128" s="2">
        <v>485</v>
      </c>
      <c r="Q128">
        <v>5.7950000000000002E-2</v>
      </c>
      <c r="R128">
        <v>0.16930000000000001</v>
      </c>
      <c r="S128">
        <v>0.61619999999999997</v>
      </c>
    </row>
    <row r="129" spans="16:19">
      <c r="P129" s="2">
        <v>486</v>
      </c>
      <c r="Q129">
        <v>5.1860000000000003E-2</v>
      </c>
      <c r="R129">
        <v>0.17624000000000001</v>
      </c>
      <c r="S129">
        <v>0.58233000000000001</v>
      </c>
    </row>
    <row r="130" spans="16:19">
      <c r="P130" s="2">
        <v>487</v>
      </c>
      <c r="Q130">
        <v>4.6280000000000002E-2</v>
      </c>
      <c r="R130">
        <v>0.18356</v>
      </c>
      <c r="S130">
        <v>0.55042000000000002</v>
      </c>
    </row>
    <row r="131" spans="16:19">
      <c r="P131" s="2">
        <v>488</v>
      </c>
      <c r="Q131">
        <v>4.1149999999999999E-2</v>
      </c>
      <c r="R131">
        <v>0.19127</v>
      </c>
      <c r="S131">
        <v>0.52034000000000002</v>
      </c>
    </row>
    <row r="132" spans="16:19">
      <c r="P132" s="2">
        <v>489</v>
      </c>
      <c r="Q132">
        <v>3.6409999999999998E-2</v>
      </c>
      <c r="R132">
        <v>0.19941999999999999</v>
      </c>
      <c r="S132">
        <v>0.49197000000000002</v>
      </c>
    </row>
    <row r="133" spans="16:19">
      <c r="P133" s="2">
        <v>490</v>
      </c>
      <c r="Q133">
        <v>3.2009999999999997E-2</v>
      </c>
      <c r="R133">
        <v>0.20802000000000001</v>
      </c>
      <c r="S133">
        <v>0.46517999999999998</v>
      </c>
    </row>
    <row r="134" spans="16:19">
      <c r="P134" s="2">
        <v>491</v>
      </c>
      <c r="Q134">
        <v>2.792E-2</v>
      </c>
      <c r="R134">
        <v>0.21712000000000001</v>
      </c>
      <c r="S134">
        <v>0.43991999999999998</v>
      </c>
    </row>
    <row r="135" spans="16:19">
      <c r="P135" s="2">
        <v>492</v>
      </c>
      <c r="Q135">
        <v>2.4140000000000002E-2</v>
      </c>
      <c r="R135">
        <v>0.22672999999999999</v>
      </c>
      <c r="S135">
        <v>0.41617999999999999</v>
      </c>
    </row>
    <row r="136" spans="16:19">
      <c r="P136" s="2">
        <v>493</v>
      </c>
      <c r="Q136">
        <v>2.069E-2</v>
      </c>
      <c r="R136">
        <v>0.23685999999999999</v>
      </c>
      <c r="S136">
        <v>0.39388000000000001</v>
      </c>
    </row>
    <row r="137" spans="16:19">
      <c r="P137" s="2">
        <v>494</v>
      </c>
      <c r="Q137">
        <v>1.754E-2</v>
      </c>
      <c r="R137">
        <v>0.24748000000000001</v>
      </c>
      <c r="S137">
        <v>0.37295</v>
      </c>
    </row>
    <row r="138" spans="16:19">
      <c r="P138" s="2">
        <v>495</v>
      </c>
      <c r="Q138">
        <v>1.47E-2</v>
      </c>
      <c r="R138">
        <v>0.2586</v>
      </c>
      <c r="S138">
        <v>0.3533</v>
      </c>
    </row>
    <row r="139" spans="16:19">
      <c r="P139" s="2">
        <v>496</v>
      </c>
      <c r="Q139">
        <v>1.2160000000000001E-2</v>
      </c>
      <c r="R139">
        <v>0.27017999999999998</v>
      </c>
      <c r="S139">
        <v>0.33485999999999999</v>
      </c>
    </row>
    <row r="140" spans="16:19">
      <c r="P140" s="2">
        <v>497</v>
      </c>
      <c r="Q140">
        <v>9.92E-3</v>
      </c>
      <c r="R140">
        <v>0.28228999999999999</v>
      </c>
      <c r="S140">
        <v>0.31755</v>
      </c>
    </row>
    <row r="141" spans="16:19">
      <c r="P141" s="2">
        <v>498</v>
      </c>
      <c r="Q141">
        <v>7.9699999999999997E-3</v>
      </c>
      <c r="R141">
        <v>0.29504999999999998</v>
      </c>
      <c r="S141">
        <v>0.30134</v>
      </c>
    </row>
    <row r="142" spans="16:19">
      <c r="P142" s="2">
        <v>499</v>
      </c>
      <c r="Q142">
        <v>6.3E-3</v>
      </c>
      <c r="R142">
        <v>0.30858000000000002</v>
      </c>
      <c r="S142">
        <v>0.28616999999999998</v>
      </c>
    </row>
    <row r="143" spans="16:19">
      <c r="P143" s="2">
        <v>500</v>
      </c>
      <c r="Q143">
        <v>4.8999999999999998E-3</v>
      </c>
      <c r="R143">
        <v>0.32300000000000001</v>
      </c>
      <c r="S143">
        <v>0.27200000000000002</v>
      </c>
    </row>
    <row r="144" spans="16:19">
      <c r="P144" s="2">
        <v>501</v>
      </c>
      <c r="Q144">
        <v>3.7799999999999999E-3</v>
      </c>
      <c r="R144">
        <v>0.33839999999999998</v>
      </c>
      <c r="S144">
        <v>0.25881999999999999</v>
      </c>
    </row>
    <row r="145" spans="16:19">
      <c r="P145" s="2">
        <v>502</v>
      </c>
      <c r="Q145">
        <v>2.9499999999999999E-3</v>
      </c>
      <c r="R145">
        <v>0.35469000000000001</v>
      </c>
      <c r="S145">
        <v>0.24648</v>
      </c>
    </row>
    <row r="146" spans="16:19">
      <c r="P146" s="2">
        <v>503</v>
      </c>
      <c r="Q146">
        <v>2.4199999999999998E-3</v>
      </c>
      <c r="R146">
        <v>0.37169999999999997</v>
      </c>
      <c r="S146">
        <v>0.23477000000000001</v>
      </c>
    </row>
    <row r="147" spans="16:19">
      <c r="P147" s="2">
        <v>504</v>
      </c>
      <c r="Q147">
        <v>2.2399999999999998E-3</v>
      </c>
      <c r="R147">
        <v>0.38929000000000002</v>
      </c>
      <c r="S147">
        <v>0.22345000000000001</v>
      </c>
    </row>
    <row r="148" spans="16:19">
      <c r="P148" s="2">
        <v>505</v>
      </c>
      <c r="Q148">
        <v>2.3999999999999998E-3</v>
      </c>
      <c r="R148">
        <v>0.4073</v>
      </c>
      <c r="S148">
        <v>0.21229999999999999</v>
      </c>
    </row>
    <row r="149" spans="16:19">
      <c r="P149" s="2">
        <v>506</v>
      </c>
      <c r="Q149">
        <v>2.9299999999999999E-3</v>
      </c>
      <c r="R149">
        <v>0.42563000000000001</v>
      </c>
      <c r="S149">
        <v>0.20116999999999999</v>
      </c>
    </row>
    <row r="150" spans="16:19">
      <c r="P150" s="2">
        <v>507</v>
      </c>
      <c r="Q150">
        <v>3.8400000000000001E-3</v>
      </c>
      <c r="R150">
        <v>0.44430999999999998</v>
      </c>
      <c r="S150">
        <v>0.19012000000000001</v>
      </c>
    </row>
    <row r="151" spans="16:19">
      <c r="P151" s="2">
        <v>508</v>
      </c>
      <c r="Q151">
        <v>5.1700000000000001E-3</v>
      </c>
      <c r="R151">
        <v>0.46339000000000002</v>
      </c>
      <c r="S151">
        <v>0.17923</v>
      </c>
    </row>
    <row r="152" spans="16:19">
      <c r="P152" s="2">
        <v>509</v>
      </c>
      <c r="Q152">
        <v>6.9800000000000001E-3</v>
      </c>
      <c r="R152">
        <v>0.48293999999999998</v>
      </c>
      <c r="S152">
        <v>0.16855999999999999</v>
      </c>
    </row>
    <row r="153" spans="16:19">
      <c r="P153" s="2">
        <v>510</v>
      </c>
      <c r="Q153">
        <v>9.2999999999999992E-3</v>
      </c>
      <c r="R153">
        <v>0.503</v>
      </c>
      <c r="S153">
        <v>0.15820000000000001</v>
      </c>
    </row>
    <row r="154" spans="16:19">
      <c r="P154" s="2">
        <v>511</v>
      </c>
      <c r="Q154">
        <v>1.2149999999999999E-2</v>
      </c>
      <c r="R154">
        <v>0.52356999999999998</v>
      </c>
      <c r="S154">
        <v>0.14813999999999999</v>
      </c>
    </row>
    <row r="155" spans="16:19">
      <c r="P155" s="2">
        <v>512</v>
      </c>
      <c r="Q155">
        <v>1.554E-2</v>
      </c>
      <c r="R155">
        <v>0.54451000000000005</v>
      </c>
      <c r="S155">
        <v>0.13838</v>
      </c>
    </row>
    <row r="156" spans="16:19">
      <c r="P156" s="2">
        <v>513</v>
      </c>
      <c r="Q156">
        <v>1.9480000000000001E-2</v>
      </c>
      <c r="R156">
        <v>0.56569000000000003</v>
      </c>
      <c r="S156">
        <v>0.12898999999999999</v>
      </c>
    </row>
    <row r="157" spans="16:19">
      <c r="P157" s="2">
        <v>514</v>
      </c>
      <c r="Q157">
        <v>2.3990000000000001E-2</v>
      </c>
      <c r="R157">
        <v>0.58696999999999999</v>
      </c>
      <c r="S157">
        <v>0.12008000000000001</v>
      </c>
    </row>
    <row r="158" spans="16:19">
      <c r="P158" s="2">
        <v>515</v>
      </c>
      <c r="Q158">
        <v>2.9100000000000001E-2</v>
      </c>
      <c r="R158">
        <v>0.60819999999999996</v>
      </c>
      <c r="S158">
        <v>0.11169999999999999</v>
      </c>
    </row>
    <row r="159" spans="16:19">
      <c r="P159" s="2">
        <v>516</v>
      </c>
      <c r="Q159">
        <v>3.4810000000000001E-2</v>
      </c>
      <c r="R159">
        <v>0.62934999999999997</v>
      </c>
      <c r="S159">
        <v>0.10390000000000001</v>
      </c>
    </row>
    <row r="160" spans="16:19">
      <c r="P160" s="2">
        <v>517</v>
      </c>
      <c r="Q160">
        <v>4.1119999999999997E-2</v>
      </c>
      <c r="R160">
        <v>0.65031000000000005</v>
      </c>
      <c r="S160">
        <v>9.6670000000000006E-2</v>
      </c>
    </row>
    <row r="161" spans="16:19">
      <c r="P161" s="2">
        <v>518</v>
      </c>
      <c r="Q161">
        <v>4.7989999999999998E-2</v>
      </c>
      <c r="R161">
        <v>0.67088000000000003</v>
      </c>
      <c r="S161">
        <v>8.9980000000000004E-2</v>
      </c>
    </row>
    <row r="162" spans="16:19">
      <c r="P162" s="2">
        <v>519</v>
      </c>
      <c r="Q162">
        <v>5.5379999999999999E-2</v>
      </c>
      <c r="R162">
        <v>0.69084000000000001</v>
      </c>
      <c r="S162">
        <v>8.3849999999999994E-2</v>
      </c>
    </row>
    <row r="163" spans="16:19">
      <c r="P163" s="2">
        <v>520</v>
      </c>
      <c r="Q163">
        <v>6.3270000000000007E-2</v>
      </c>
      <c r="R163">
        <v>0.71</v>
      </c>
      <c r="S163">
        <v>7.825E-2</v>
      </c>
    </row>
    <row r="164" spans="16:19">
      <c r="P164" s="2">
        <v>521</v>
      </c>
      <c r="Q164">
        <v>7.1639999999999995E-2</v>
      </c>
      <c r="R164">
        <v>0.72819</v>
      </c>
      <c r="S164">
        <v>7.3209999999999997E-2</v>
      </c>
    </row>
    <row r="165" spans="16:19">
      <c r="P165" s="2">
        <v>522</v>
      </c>
      <c r="Q165">
        <v>8.0460000000000004E-2</v>
      </c>
      <c r="R165">
        <v>0.74546000000000001</v>
      </c>
      <c r="S165">
        <v>6.8680000000000005E-2</v>
      </c>
    </row>
    <row r="166" spans="16:19">
      <c r="P166" s="2">
        <v>523</v>
      </c>
      <c r="Q166">
        <v>8.974E-2</v>
      </c>
      <c r="R166">
        <v>0.76197000000000004</v>
      </c>
      <c r="S166">
        <v>6.4570000000000002E-2</v>
      </c>
    </row>
    <row r="167" spans="16:19">
      <c r="P167" s="2">
        <v>524</v>
      </c>
      <c r="Q167">
        <v>9.9460000000000007E-2</v>
      </c>
      <c r="R167">
        <v>0.77783999999999998</v>
      </c>
      <c r="S167">
        <v>6.0789999999999997E-2</v>
      </c>
    </row>
    <row r="168" spans="16:19">
      <c r="P168" s="2">
        <v>525</v>
      </c>
      <c r="Q168">
        <v>0.1096</v>
      </c>
      <c r="R168">
        <v>0.79320000000000002</v>
      </c>
      <c r="S168">
        <v>5.7250000000000002E-2</v>
      </c>
    </row>
    <row r="169" spans="16:19">
      <c r="P169" s="2">
        <v>526</v>
      </c>
      <c r="Q169">
        <v>0.12017</v>
      </c>
      <c r="R169">
        <v>0.80810999999999999</v>
      </c>
      <c r="S169">
        <v>5.3900000000000003E-2</v>
      </c>
    </row>
    <row r="170" spans="16:19">
      <c r="P170" s="2">
        <v>527</v>
      </c>
      <c r="Q170">
        <v>0.13111</v>
      </c>
      <c r="R170">
        <v>0.82250000000000001</v>
      </c>
      <c r="S170">
        <v>5.0750000000000003E-2</v>
      </c>
    </row>
    <row r="171" spans="16:19">
      <c r="P171" s="2">
        <v>528</v>
      </c>
      <c r="Q171">
        <v>0.14237</v>
      </c>
      <c r="R171">
        <v>0.83631</v>
      </c>
      <c r="S171">
        <v>4.7750000000000001E-2</v>
      </c>
    </row>
    <row r="172" spans="16:19">
      <c r="P172" s="2">
        <v>529</v>
      </c>
      <c r="Q172">
        <v>0.15384999999999999</v>
      </c>
      <c r="R172">
        <v>0.84948999999999997</v>
      </c>
      <c r="S172">
        <v>4.4900000000000002E-2</v>
      </c>
    </row>
    <row r="173" spans="16:19">
      <c r="P173" s="2">
        <v>530</v>
      </c>
      <c r="Q173">
        <v>0.16550000000000001</v>
      </c>
      <c r="R173">
        <v>0.86199999999999999</v>
      </c>
      <c r="S173">
        <v>4.2160000000000003E-2</v>
      </c>
    </row>
    <row r="174" spans="16:19">
      <c r="P174" s="2">
        <v>531</v>
      </c>
      <c r="Q174">
        <v>0.17726</v>
      </c>
      <c r="R174">
        <v>0.87380999999999998</v>
      </c>
      <c r="S174">
        <v>3.9510000000000003E-2</v>
      </c>
    </row>
    <row r="175" spans="16:19">
      <c r="P175" s="2">
        <v>532</v>
      </c>
      <c r="Q175">
        <v>0.18914</v>
      </c>
      <c r="R175">
        <v>0.88495999999999997</v>
      </c>
      <c r="S175">
        <v>3.6940000000000001E-2</v>
      </c>
    </row>
    <row r="176" spans="16:19">
      <c r="P176" s="2">
        <v>533</v>
      </c>
      <c r="Q176">
        <v>0.20116999999999999</v>
      </c>
      <c r="R176">
        <v>0.89549000000000001</v>
      </c>
      <c r="S176">
        <v>3.4459999999999998E-2</v>
      </c>
    </row>
    <row r="177" spans="16:19">
      <c r="P177" s="2">
        <v>534</v>
      </c>
      <c r="Q177">
        <v>0.21337</v>
      </c>
      <c r="R177">
        <v>0.90544000000000002</v>
      </c>
      <c r="S177">
        <v>3.209E-2</v>
      </c>
    </row>
    <row r="178" spans="16:19">
      <c r="P178" s="2">
        <v>535</v>
      </c>
      <c r="Q178">
        <v>0.22575000000000001</v>
      </c>
      <c r="R178">
        <v>0.91485000000000005</v>
      </c>
      <c r="S178">
        <v>2.9839999999999998E-2</v>
      </c>
    </row>
    <row r="179" spans="16:19">
      <c r="P179" s="2">
        <v>536</v>
      </c>
      <c r="Q179">
        <v>0.23832</v>
      </c>
      <c r="R179">
        <v>0.92373000000000005</v>
      </c>
      <c r="S179">
        <v>2.7709999999999999E-2</v>
      </c>
    </row>
    <row r="180" spans="16:19">
      <c r="P180" s="2">
        <v>537</v>
      </c>
      <c r="Q180">
        <v>0.25107000000000002</v>
      </c>
      <c r="R180">
        <v>0.93208999999999997</v>
      </c>
      <c r="S180">
        <v>2.5690000000000001E-2</v>
      </c>
    </row>
    <row r="181" spans="16:19">
      <c r="P181" s="2">
        <v>538</v>
      </c>
      <c r="Q181">
        <v>0.26399</v>
      </c>
      <c r="R181">
        <v>0.93991999999999998</v>
      </c>
      <c r="S181">
        <v>2.3789999999999999E-2</v>
      </c>
    </row>
    <row r="182" spans="16:19">
      <c r="P182" s="2">
        <v>539</v>
      </c>
      <c r="Q182">
        <v>0.27710000000000001</v>
      </c>
      <c r="R182">
        <v>0.94723000000000002</v>
      </c>
      <c r="S182">
        <v>2.1989999999999999E-2</v>
      </c>
    </row>
    <row r="183" spans="16:19">
      <c r="P183" s="2">
        <v>540</v>
      </c>
      <c r="Q183">
        <v>0.29039999999999999</v>
      </c>
      <c r="R183">
        <v>0.95399999999999996</v>
      </c>
      <c r="S183">
        <v>2.0299999999999999E-2</v>
      </c>
    </row>
    <row r="184" spans="16:19">
      <c r="P184" s="2">
        <v>541</v>
      </c>
      <c r="Q184">
        <v>0.30388999999999999</v>
      </c>
      <c r="R184">
        <v>0.96026</v>
      </c>
      <c r="S184">
        <v>1.8720000000000001E-2</v>
      </c>
    </row>
    <row r="185" spans="16:19">
      <c r="P185" s="2">
        <v>542</v>
      </c>
      <c r="Q185">
        <v>0.31757000000000002</v>
      </c>
      <c r="R185">
        <v>0.96601000000000004</v>
      </c>
      <c r="S185">
        <v>1.7239999999999998E-2</v>
      </c>
    </row>
    <row r="186" spans="16:19">
      <c r="P186" s="2">
        <v>543</v>
      </c>
      <c r="Q186">
        <v>0.33144000000000001</v>
      </c>
      <c r="R186">
        <v>0.97126000000000001</v>
      </c>
      <c r="S186">
        <v>1.5859999999999999E-2</v>
      </c>
    </row>
    <row r="187" spans="16:19">
      <c r="P187" s="2">
        <v>544</v>
      </c>
      <c r="Q187">
        <v>0.34548000000000001</v>
      </c>
      <c r="R187">
        <v>0.97602</v>
      </c>
      <c r="S187">
        <v>1.4579999999999999E-2</v>
      </c>
    </row>
    <row r="188" spans="16:19">
      <c r="P188" s="2">
        <v>545</v>
      </c>
      <c r="Q188">
        <v>0.35970000000000002</v>
      </c>
      <c r="R188">
        <v>0.98029999999999995</v>
      </c>
      <c r="S188">
        <v>1.34E-2</v>
      </c>
    </row>
    <row r="189" spans="16:19">
      <c r="P189" s="2">
        <v>546</v>
      </c>
      <c r="Q189">
        <v>0.37408000000000002</v>
      </c>
      <c r="R189">
        <v>0.98409000000000002</v>
      </c>
      <c r="S189">
        <v>1.231E-2</v>
      </c>
    </row>
    <row r="190" spans="16:19">
      <c r="P190" s="2">
        <v>547</v>
      </c>
      <c r="Q190">
        <v>0.38863999999999999</v>
      </c>
      <c r="R190">
        <v>0.98741999999999996</v>
      </c>
      <c r="S190">
        <v>1.1299999999999999E-2</v>
      </c>
    </row>
    <row r="191" spans="16:19">
      <c r="P191" s="2">
        <v>548</v>
      </c>
      <c r="Q191">
        <v>0.40338000000000002</v>
      </c>
      <c r="R191">
        <v>0.99031000000000002</v>
      </c>
      <c r="S191">
        <v>1.038E-2</v>
      </c>
    </row>
    <row r="192" spans="16:19">
      <c r="P192" s="2">
        <v>549</v>
      </c>
      <c r="Q192">
        <v>0.41831000000000002</v>
      </c>
      <c r="R192">
        <v>0.99280999999999997</v>
      </c>
      <c r="S192">
        <v>9.5300000000000003E-3</v>
      </c>
    </row>
    <row r="193" spans="16:19">
      <c r="P193" s="2">
        <v>550</v>
      </c>
      <c r="Q193">
        <v>0.43345</v>
      </c>
      <c r="R193">
        <v>0.99495</v>
      </c>
      <c r="S193">
        <v>8.7500000000000008E-3</v>
      </c>
    </row>
    <row r="194" spans="16:19">
      <c r="P194" s="2">
        <v>551</v>
      </c>
      <c r="Q194">
        <v>0.44879999999999998</v>
      </c>
      <c r="R194">
        <v>0.99670999999999998</v>
      </c>
      <c r="S194">
        <v>8.0400000000000003E-3</v>
      </c>
    </row>
    <row r="195" spans="16:19">
      <c r="P195" s="2">
        <v>552</v>
      </c>
      <c r="Q195">
        <v>0.46433999999999997</v>
      </c>
      <c r="R195">
        <v>0.99809999999999999</v>
      </c>
      <c r="S195">
        <v>7.3800000000000003E-3</v>
      </c>
    </row>
    <row r="196" spans="16:19">
      <c r="P196" s="2">
        <v>553</v>
      </c>
      <c r="Q196">
        <v>0.48005999999999999</v>
      </c>
      <c r="R196">
        <v>0.99911000000000005</v>
      </c>
      <c r="S196">
        <v>6.79E-3</v>
      </c>
    </row>
    <row r="197" spans="16:19">
      <c r="P197" s="2">
        <v>554</v>
      </c>
      <c r="Q197">
        <v>0.49597000000000002</v>
      </c>
      <c r="R197">
        <v>0.99975000000000003</v>
      </c>
      <c r="S197">
        <v>6.2399999999999999E-3</v>
      </c>
    </row>
    <row r="198" spans="16:19">
      <c r="P198" s="2">
        <v>555</v>
      </c>
      <c r="Q198">
        <v>0.51205000000000001</v>
      </c>
      <c r="R198">
        <v>1</v>
      </c>
      <c r="S198">
        <v>5.7499999999999999E-3</v>
      </c>
    </row>
    <row r="199" spans="16:19">
      <c r="P199" s="2">
        <v>556</v>
      </c>
      <c r="Q199">
        <v>0.52829999999999999</v>
      </c>
      <c r="R199">
        <v>0.99985999999999997</v>
      </c>
      <c r="S199">
        <v>5.3E-3</v>
      </c>
    </row>
    <row r="200" spans="16:19">
      <c r="P200" s="2">
        <v>557</v>
      </c>
      <c r="Q200">
        <v>0.54469000000000001</v>
      </c>
      <c r="R200">
        <v>0.99929999999999997</v>
      </c>
      <c r="S200">
        <v>4.8999999999999998E-3</v>
      </c>
    </row>
    <row r="201" spans="16:19">
      <c r="P201" s="2">
        <v>558</v>
      </c>
      <c r="Q201">
        <v>0.56120999999999999</v>
      </c>
      <c r="R201">
        <v>0.99833000000000005</v>
      </c>
      <c r="S201">
        <v>4.5300000000000002E-3</v>
      </c>
    </row>
    <row r="202" spans="16:19">
      <c r="P202" s="2">
        <v>559</v>
      </c>
      <c r="Q202">
        <v>0.57782</v>
      </c>
      <c r="R202">
        <v>0.99690000000000001</v>
      </c>
      <c r="S202">
        <v>4.1999999999999997E-3</v>
      </c>
    </row>
    <row r="203" spans="16:19">
      <c r="P203" s="2">
        <v>560</v>
      </c>
      <c r="Q203">
        <v>0.59450000000000003</v>
      </c>
      <c r="R203">
        <v>0.995</v>
      </c>
      <c r="S203">
        <v>3.8999999999999998E-3</v>
      </c>
    </row>
    <row r="204" spans="16:19">
      <c r="P204" s="2">
        <v>561</v>
      </c>
      <c r="Q204">
        <v>0.61121999999999999</v>
      </c>
      <c r="R204">
        <v>0.99260000000000004</v>
      </c>
      <c r="S204">
        <v>3.62E-3</v>
      </c>
    </row>
    <row r="205" spans="16:19">
      <c r="P205" s="2">
        <v>562</v>
      </c>
      <c r="Q205">
        <v>0.62797999999999998</v>
      </c>
      <c r="R205">
        <v>0.98973999999999995</v>
      </c>
      <c r="S205">
        <v>3.3700000000000002E-3</v>
      </c>
    </row>
    <row r="206" spans="16:19">
      <c r="P206" s="2">
        <v>563</v>
      </c>
      <c r="Q206">
        <v>0.64476</v>
      </c>
      <c r="R206">
        <v>0.98643999999999998</v>
      </c>
      <c r="S206">
        <v>3.14E-3</v>
      </c>
    </row>
    <row r="207" spans="16:19">
      <c r="P207" s="2">
        <v>564</v>
      </c>
      <c r="Q207">
        <v>0.66156999999999999</v>
      </c>
      <c r="R207">
        <v>0.98272000000000004</v>
      </c>
      <c r="S207">
        <v>2.9299999999999999E-3</v>
      </c>
    </row>
    <row r="208" spans="16:19">
      <c r="P208" s="2">
        <v>565</v>
      </c>
      <c r="Q208">
        <v>0.6784</v>
      </c>
      <c r="R208">
        <v>0.97860000000000003</v>
      </c>
      <c r="S208">
        <v>2.7499999999999998E-3</v>
      </c>
    </row>
    <row r="209" spans="16:19">
      <c r="P209" s="2">
        <v>566</v>
      </c>
      <c r="Q209">
        <v>0.69523999999999997</v>
      </c>
      <c r="R209">
        <v>0.97407999999999995</v>
      </c>
      <c r="S209">
        <v>2.5899999999999999E-3</v>
      </c>
    </row>
    <row r="210" spans="16:19">
      <c r="P210" s="2">
        <v>567</v>
      </c>
      <c r="Q210">
        <v>0.71206000000000003</v>
      </c>
      <c r="R210">
        <v>0.96916999999999998</v>
      </c>
      <c r="S210">
        <v>2.4399999999999999E-3</v>
      </c>
    </row>
    <row r="211" spans="16:19">
      <c r="P211" s="2">
        <v>568</v>
      </c>
      <c r="Q211">
        <v>0.72882999999999998</v>
      </c>
      <c r="R211">
        <v>0.96386000000000005</v>
      </c>
      <c r="S211">
        <v>2.31E-3</v>
      </c>
    </row>
    <row r="212" spans="16:19">
      <c r="P212" s="2">
        <v>569</v>
      </c>
      <c r="Q212">
        <v>0.74551999999999996</v>
      </c>
      <c r="R212">
        <v>0.95813000000000004</v>
      </c>
      <c r="S212">
        <v>2.2000000000000001E-3</v>
      </c>
    </row>
    <row r="213" spans="16:19">
      <c r="P213" s="2">
        <v>570</v>
      </c>
      <c r="Q213">
        <v>0.7621</v>
      </c>
      <c r="R213">
        <v>0.95199999999999996</v>
      </c>
      <c r="S213">
        <v>2.0999999999999999E-3</v>
      </c>
    </row>
    <row r="214" spans="16:19">
      <c r="P214" s="2">
        <v>571</v>
      </c>
      <c r="Q214">
        <v>0.77854000000000001</v>
      </c>
      <c r="R214">
        <v>0.94545000000000001</v>
      </c>
      <c r="S214">
        <v>2.0200000000000001E-3</v>
      </c>
    </row>
    <row r="215" spans="16:19">
      <c r="P215" s="2">
        <v>572</v>
      </c>
      <c r="Q215">
        <v>0.79483000000000004</v>
      </c>
      <c r="R215">
        <v>0.9385</v>
      </c>
      <c r="S215">
        <v>1.9499999999999999E-3</v>
      </c>
    </row>
    <row r="216" spans="16:19">
      <c r="P216" s="2">
        <v>573</v>
      </c>
      <c r="Q216">
        <v>0.81093000000000004</v>
      </c>
      <c r="R216">
        <v>0.93115999999999999</v>
      </c>
      <c r="S216">
        <v>1.89E-3</v>
      </c>
    </row>
    <row r="217" spans="16:19">
      <c r="P217" s="2">
        <v>574</v>
      </c>
      <c r="Q217">
        <v>0.82682</v>
      </c>
      <c r="R217">
        <v>0.92345999999999995</v>
      </c>
      <c r="S217">
        <v>1.8400000000000001E-3</v>
      </c>
    </row>
    <row r="218" spans="16:19">
      <c r="P218" s="2">
        <v>575</v>
      </c>
      <c r="Q218">
        <v>0.84250000000000003</v>
      </c>
      <c r="R218">
        <v>0.91539999999999999</v>
      </c>
      <c r="S218">
        <v>1.8E-3</v>
      </c>
    </row>
    <row r="219" spans="16:19">
      <c r="P219" s="2">
        <v>576</v>
      </c>
      <c r="Q219">
        <v>0.85792999999999997</v>
      </c>
      <c r="R219">
        <v>0.90700999999999998</v>
      </c>
      <c r="S219">
        <v>1.7700000000000001E-3</v>
      </c>
    </row>
    <row r="220" spans="16:19">
      <c r="P220" s="2">
        <v>577</v>
      </c>
      <c r="Q220">
        <v>0.87307999999999997</v>
      </c>
      <c r="R220">
        <v>0.89827999999999997</v>
      </c>
      <c r="S220">
        <v>1.74E-3</v>
      </c>
    </row>
    <row r="221" spans="16:19">
      <c r="P221" s="2">
        <v>578</v>
      </c>
      <c r="Q221">
        <v>0.88788999999999996</v>
      </c>
      <c r="R221">
        <v>0.88919999999999999</v>
      </c>
      <c r="S221">
        <v>1.7099999999999999E-3</v>
      </c>
    </row>
    <row r="222" spans="16:19">
      <c r="P222" s="2">
        <v>579</v>
      </c>
      <c r="Q222">
        <v>0.90232000000000001</v>
      </c>
      <c r="R222">
        <v>0.87978000000000001</v>
      </c>
      <c r="S222">
        <v>1.6800000000000001E-3</v>
      </c>
    </row>
    <row r="223" spans="16:19">
      <c r="P223" s="2">
        <v>580</v>
      </c>
      <c r="Q223">
        <v>0.9163</v>
      </c>
      <c r="R223">
        <v>0.87</v>
      </c>
      <c r="S223">
        <v>1.65E-3</v>
      </c>
    </row>
    <row r="224" spans="16:19">
      <c r="P224" s="2">
        <v>581</v>
      </c>
      <c r="Q224">
        <v>0.92979999999999996</v>
      </c>
      <c r="R224">
        <v>0.85985999999999996</v>
      </c>
      <c r="S224">
        <v>1.6100000000000001E-3</v>
      </c>
    </row>
    <row r="225" spans="9:19">
      <c r="P225" s="2">
        <v>582</v>
      </c>
      <c r="Q225">
        <v>0.94279999999999997</v>
      </c>
      <c r="R225">
        <v>0.84938999999999998</v>
      </c>
      <c r="S225">
        <v>1.56E-3</v>
      </c>
    </row>
    <row r="226" spans="9:19">
      <c r="P226" s="2">
        <v>583</v>
      </c>
      <c r="Q226">
        <v>0.95528000000000002</v>
      </c>
      <c r="R226">
        <v>0.83862000000000003</v>
      </c>
      <c r="S226">
        <v>1.5100000000000001E-3</v>
      </c>
    </row>
    <row r="227" spans="9:19">
      <c r="P227" s="2">
        <v>584</v>
      </c>
      <c r="Q227">
        <v>0.96721999999999997</v>
      </c>
      <c r="R227">
        <v>0.82757999999999998</v>
      </c>
      <c r="S227">
        <v>1.4599999999999999E-3</v>
      </c>
    </row>
    <row r="228" spans="9:19">
      <c r="P228" s="2">
        <v>585</v>
      </c>
      <c r="Q228">
        <v>0.97860000000000003</v>
      </c>
      <c r="R228">
        <v>0.81630000000000003</v>
      </c>
      <c r="S228">
        <v>1.4E-3</v>
      </c>
    </row>
    <row r="229" spans="9:19">
      <c r="P229" s="2">
        <v>586</v>
      </c>
      <c r="Q229">
        <v>0.98938999999999999</v>
      </c>
      <c r="R229">
        <v>0.80479000000000001</v>
      </c>
      <c r="S229">
        <v>1.34E-3</v>
      </c>
    </row>
    <row r="230" spans="9:19">
      <c r="P230" s="2">
        <v>587</v>
      </c>
      <c r="Q230">
        <v>0.99955000000000005</v>
      </c>
      <c r="R230">
        <v>0.79308000000000001</v>
      </c>
      <c r="S230">
        <v>1.2700000000000001E-3</v>
      </c>
    </row>
    <row r="231" spans="9:19">
      <c r="P231" s="2">
        <v>588</v>
      </c>
      <c r="Q231">
        <v>1.00909</v>
      </c>
      <c r="R231">
        <v>0.78119000000000005</v>
      </c>
      <c r="S231">
        <v>1.2099999999999999E-3</v>
      </c>
    </row>
    <row r="232" spans="9:19">
      <c r="P232" s="2">
        <v>589</v>
      </c>
      <c r="Q232">
        <v>1.0180100000000001</v>
      </c>
      <c r="R232">
        <v>0.76915</v>
      </c>
      <c r="S232">
        <v>1.15E-3</v>
      </c>
    </row>
    <row r="233" spans="9:19">
      <c r="P233" s="2">
        <v>590</v>
      </c>
      <c r="Q233">
        <v>1.0263</v>
      </c>
      <c r="R233">
        <v>0.75700000000000001</v>
      </c>
      <c r="S233">
        <v>1.1000000000000001E-3</v>
      </c>
    </row>
    <row r="234" spans="9:19">
      <c r="P234" s="2">
        <v>591</v>
      </c>
      <c r="Q234">
        <v>1.0339799999999999</v>
      </c>
      <c r="R234">
        <v>0.74475000000000002</v>
      </c>
      <c r="S234">
        <v>1.07E-3</v>
      </c>
    </row>
    <row r="235" spans="9:19">
      <c r="P235" s="2">
        <v>592</v>
      </c>
      <c r="Q235">
        <v>1.0409900000000001</v>
      </c>
      <c r="R235">
        <v>0.73241999999999996</v>
      </c>
      <c r="S235">
        <v>1.0499999999999999E-3</v>
      </c>
    </row>
    <row r="236" spans="9:19">
      <c r="P236" s="2">
        <v>593</v>
      </c>
      <c r="Q236">
        <v>1.0471900000000001</v>
      </c>
      <c r="R236">
        <v>0.72</v>
      </c>
      <c r="S236">
        <v>1.0399999999999999E-3</v>
      </c>
    </row>
    <row r="237" spans="9:19">
      <c r="P237" s="2">
        <v>594</v>
      </c>
      <c r="Q237">
        <v>1.05247</v>
      </c>
      <c r="R237">
        <v>0.70750000000000002</v>
      </c>
      <c r="S237">
        <v>1.0200000000000001E-3</v>
      </c>
    </row>
    <row r="238" spans="9:19">
      <c r="P238" s="2">
        <v>595</v>
      </c>
      <c r="Q238">
        <v>1.0567</v>
      </c>
      <c r="R238">
        <v>0.69489999999999996</v>
      </c>
      <c r="S238">
        <v>1E-3</v>
      </c>
    </row>
    <row r="239" spans="9:19">
      <c r="I239" s="3"/>
      <c r="J239" s="3"/>
      <c r="P239" s="2">
        <v>596</v>
      </c>
      <c r="Q239">
        <v>1.05979</v>
      </c>
      <c r="R239">
        <v>0.68222000000000005</v>
      </c>
      <c r="S239" s="3">
        <v>9.6864E-4</v>
      </c>
    </row>
    <row r="240" spans="9:19">
      <c r="I240" s="3"/>
      <c r="J240" s="3"/>
      <c r="P240" s="2">
        <v>597</v>
      </c>
      <c r="Q240">
        <v>1.0618000000000001</v>
      </c>
      <c r="R240">
        <v>0.66947000000000001</v>
      </c>
      <c r="S240" s="3">
        <v>9.2991999999999999E-4</v>
      </c>
    </row>
    <row r="241" spans="9:19">
      <c r="I241" s="3"/>
      <c r="J241" s="3"/>
      <c r="P241" s="2">
        <v>598</v>
      </c>
      <c r="Q241">
        <v>1.06281</v>
      </c>
      <c r="R241">
        <v>0.65666999999999998</v>
      </c>
      <c r="S241" s="3">
        <v>8.8688000000000005E-4</v>
      </c>
    </row>
    <row r="242" spans="9:19">
      <c r="I242" s="3"/>
      <c r="J242" s="3"/>
      <c r="P242" s="2">
        <v>599</v>
      </c>
      <c r="Q242">
        <v>1.06291</v>
      </c>
      <c r="R242">
        <v>0.64383999999999997</v>
      </c>
      <c r="S242" s="3">
        <v>8.4256000000000001E-4</v>
      </c>
    </row>
    <row r="243" spans="9:19">
      <c r="I243" s="3"/>
      <c r="J243" s="3"/>
      <c r="P243" s="2">
        <v>600</v>
      </c>
      <c r="Q243">
        <v>1.0622</v>
      </c>
      <c r="R243">
        <v>0.63100000000000001</v>
      </c>
      <c r="S243" s="3">
        <v>8.0000000000000004E-4</v>
      </c>
    </row>
    <row r="244" spans="9:19">
      <c r="I244" s="3"/>
      <c r="J244" s="3"/>
      <c r="P244" s="2">
        <v>601</v>
      </c>
      <c r="Q244">
        <v>1.06074</v>
      </c>
      <c r="R244">
        <v>0.61816000000000004</v>
      </c>
      <c r="S244" s="3">
        <v>7.6095999999999998E-4</v>
      </c>
    </row>
    <row r="245" spans="9:19">
      <c r="I245" s="3"/>
      <c r="J245" s="3"/>
      <c r="P245" s="2">
        <v>602</v>
      </c>
      <c r="Q245">
        <v>1.05844</v>
      </c>
      <c r="R245">
        <v>0.60531000000000001</v>
      </c>
      <c r="S245" s="3">
        <v>7.2367999999999998E-4</v>
      </c>
    </row>
    <row r="246" spans="9:19">
      <c r="I246" s="3"/>
      <c r="J246" s="3"/>
      <c r="P246" s="2">
        <v>603</v>
      </c>
      <c r="Q246">
        <v>1.05522</v>
      </c>
      <c r="R246">
        <v>0.59248000000000001</v>
      </c>
      <c r="S246" s="3">
        <v>6.8592000000000002E-4</v>
      </c>
    </row>
    <row r="247" spans="9:19">
      <c r="I247" s="3"/>
      <c r="J247" s="3"/>
      <c r="P247" s="2">
        <v>604</v>
      </c>
      <c r="Q247">
        <v>1.05098</v>
      </c>
      <c r="R247">
        <v>0.57964000000000004</v>
      </c>
      <c r="S247" s="3">
        <v>6.4543999999999995E-4</v>
      </c>
    </row>
    <row r="248" spans="9:19">
      <c r="I248" s="3"/>
      <c r="J248" s="3"/>
      <c r="P248" s="2">
        <v>605</v>
      </c>
      <c r="Q248">
        <v>1.0456000000000001</v>
      </c>
      <c r="R248">
        <v>0.56679999999999997</v>
      </c>
      <c r="S248" s="3">
        <v>5.9999999999999995E-4</v>
      </c>
    </row>
    <row r="249" spans="9:19">
      <c r="I249" s="3"/>
      <c r="J249" s="3"/>
      <c r="P249" s="2">
        <v>606</v>
      </c>
      <c r="Q249">
        <v>1.03904</v>
      </c>
      <c r="R249">
        <v>0.55396000000000001</v>
      </c>
      <c r="S249" s="3">
        <v>5.4786699999999995E-4</v>
      </c>
    </row>
    <row r="250" spans="9:19">
      <c r="I250" s="3"/>
      <c r="J250" s="3"/>
      <c r="P250" s="2">
        <v>607</v>
      </c>
      <c r="Q250">
        <v>1.0313600000000001</v>
      </c>
      <c r="R250">
        <v>0.54113999999999995</v>
      </c>
      <c r="S250" s="3">
        <v>4.9160000000000002E-4</v>
      </c>
    </row>
    <row r="251" spans="9:19">
      <c r="I251" s="3"/>
      <c r="J251" s="3"/>
      <c r="P251" s="2">
        <v>608</v>
      </c>
      <c r="Q251">
        <v>1.02267</v>
      </c>
      <c r="R251">
        <v>0.52834999999999999</v>
      </c>
      <c r="S251" s="3">
        <v>4.3540000000000001E-4</v>
      </c>
    </row>
    <row r="252" spans="9:19">
      <c r="I252" s="3"/>
      <c r="J252" s="3"/>
      <c r="P252" s="2">
        <v>609</v>
      </c>
      <c r="Q252">
        <v>1.01305</v>
      </c>
      <c r="R252">
        <v>0.51563000000000003</v>
      </c>
      <c r="S252" s="3">
        <v>3.8346700000000002E-4</v>
      </c>
    </row>
    <row r="253" spans="9:19">
      <c r="I253" s="3"/>
      <c r="J253" s="3"/>
      <c r="P253" s="2">
        <v>610</v>
      </c>
      <c r="Q253">
        <v>1.0025999999999999</v>
      </c>
      <c r="R253">
        <v>0.503</v>
      </c>
      <c r="S253" s="3">
        <v>3.4000000000000002E-4</v>
      </c>
    </row>
    <row r="254" spans="9:19">
      <c r="I254" s="3"/>
      <c r="J254" s="3"/>
      <c r="P254" s="2">
        <v>611</v>
      </c>
      <c r="Q254">
        <v>0.99136999999999997</v>
      </c>
      <c r="R254">
        <v>0.49047000000000002</v>
      </c>
      <c r="S254" s="3">
        <v>3.0725300000000001E-4</v>
      </c>
    </row>
    <row r="255" spans="9:19">
      <c r="I255" s="3"/>
      <c r="J255" s="3"/>
      <c r="P255" s="2">
        <v>612</v>
      </c>
      <c r="Q255">
        <v>0.97933000000000003</v>
      </c>
      <c r="R255">
        <v>0.47803000000000001</v>
      </c>
      <c r="S255" s="3">
        <v>2.8316000000000002E-4</v>
      </c>
    </row>
    <row r="256" spans="9:19">
      <c r="I256" s="3"/>
      <c r="J256" s="3"/>
      <c r="P256" s="2">
        <v>613</v>
      </c>
      <c r="Q256">
        <v>0.96648999999999996</v>
      </c>
      <c r="R256">
        <v>0.46567999999999998</v>
      </c>
      <c r="S256" s="3">
        <v>2.6543999999999998E-4</v>
      </c>
    </row>
    <row r="257" spans="9:19">
      <c r="I257" s="3"/>
      <c r="J257" s="3"/>
      <c r="P257" s="2">
        <v>614</v>
      </c>
      <c r="Q257">
        <v>0.95284999999999997</v>
      </c>
      <c r="R257">
        <v>0.45340000000000003</v>
      </c>
      <c r="S257" s="3">
        <v>2.5181299999999998E-4</v>
      </c>
    </row>
    <row r="258" spans="9:19">
      <c r="I258" s="3"/>
      <c r="J258" s="3"/>
      <c r="P258" s="2">
        <v>615</v>
      </c>
      <c r="Q258">
        <v>0.93840000000000001</v>
      </c>
      <c r="R258">
        <v>0.44119999999999998</v>
      </c>
      <c r="S258" s="3">
        <v>2.4000000000000001E-4</v>
      </c>
    </row>
    <row r="259" spans="9:19">
      <c r="I259" s="3"/>
      <c r="J259" s="3"/>
      <c r="P259" s="2">
        <v>616</v>
      </c>
      <c r="Q259">
        <v>0.92318999999999996</v>
      </c>
      <c r="R259">
        <v>0.42908000000000002</v>
      </c>
      <c r="S259" s="3">
        <v>2.29547E-4</v>
      </c>
    </row>
    <row r="260" spans="9:19">
      <c r="I260" s="3"/>
      <c r="J260" s="3"/>
      <c r="P260" s="2">
        <v>617</v>
      </c>
      <c r="Q260">
        <v>0.90724000000000005</v>
      </c>
      <c r="R260">
        <v>0.41704000000000002</v>
      </c>
      <c r="S260" s="3">
        <v>2.2064E-4</v>
      </c>
    </row>
    <row r="261" spans="9:19">
      <c r="I261" s="3"/>
      <c r="J261" s="3"/>
      <c r="P261" s="2">
        <v>618</v>
      </c>
      <c r="Q261">
        <v>0.89049999999999996</v>
      </c>
      <c r="R261">
        <v>0.40503</v>
      </c>
      <c r="S261" s="3">
        <v>2.1196E-4</v>
      </c>
    </row>
    <row r="262" spans="9:19">
      <c r="I262" s="3"/>
      <c r="J262" s="3"/>
      <c r="P262" s="2">
        <v>619</v>
      </c>
      <c r="Q262">
        <v>0.87292000000000003</v>
      </c>
      <c r="R262">
        <v>0.39302999999999999</v>
      </c>
      <c r="S262" s="3">
        <v>2.0218699999999999E-4</v>
      </c>
    </row>
    <row r="263" spans="9:19">
      <c r="I263" s="3"/>
      <c r="J263" s="3"/>
      <c r="P263" s="2">
        <v>620</v>
      </c>
      <c r="Q263">
        <v>0.85445000000000004</v>
      </c>
      <c r="R263">
        <v>0.38100000000000001</v>
      </c>
      <c r="S263" s="3">
        <v>1.9000000000000001E-4</v>
      </c>
    </row>
    <row r="264" spans="9:19">
      <c r="I264" s="3"/>
      <c r="J264" s="3"/>
      <c r="P264" s="2">
        <v>621</v>
      </c>
      <c r="Q264">
        <v>0.83508000000000004</v>
      </c>
      <c r="R264">
        <v>0.36892000000000003</v>
      </c>
      <c r="S264" s="3">
        <v>1.7421299999999999E-4</v>
      </c>
    </row>
    <row r="265" spans="9:19">
      <c r="I265" s="3"/>
      <c r="J265" s="3"/>
      <c r="P265" s="2">
        <v>622</v>
      </c>
      <c r="Q265">
        <v>0.81494999999999995</v>
      </c>
      <c r="R265">
        <v>0.35682999999999998</v>
      </c>
      <c r="S265" s="3">
        <v>1.5563999999999999E-4</v>
      </c>
    </row>
    <row r="266" spans="9:19">
      <c r="I266" s="3"/>
      <c r="J266" s="3"/>
      <c r="P266" s="2">
        <v>623</v>
      </c>
      <c r="Q266">
        <v>0.79418999999999995</v>
      </c>
      <c r="R266">
        <v>0.34477999999999998</v>
      </c>
      <c r="S266" s="3">
        <v>1.3595999999999999E-4</v>
      </c>
    </row>
    <row r="267" spans="9:19">
      <c r="I267" s="3"/>
      <c r="J267" s="3"/>
      <c r="P267" s="2">
        <v>624</v>
      </c>
      <c r="Q267">
        <v>0.77295000000000003</v>
      </c>
      <c r="R267">
        <v>0.33282</v>
      </c>
      <c r="S267" s="3">
        <v>1.16853E-4</v>
      </c>
    </row>
    <row r="268" spans="9:19">
      <c r="I268" s="3"/>
      <c r="J268" s="3"/>
      <c r="P268" s="2">
        <v>625</v>
      </c>
      <c r="Q268">
        <v>0.75139999999999996</v>
      </c>
      <c r="R268">
        <v>0.32100000000000001</v>
      </c>
      <c r="S268" s="3">
        <v>1E-4</v>
      </c>
    </row>
    <row r="269" spans="9:19">
      <c r="I269" s="3"/>
      <c r="J269" s="3"/>
      <c r="P269" s="2">
        <v>626</v>
      </c>
      <c r="Q269">
        <v>0.72958000000000001</v>
      </c>
      <c r="R269">
        <v>0.30934</v>
      </c>
      <c r="S269" s="3">
        <v>8.6133300000000004E-5</v>
      </c>
    </row>
    <row r="270" spans="9:19">
      <c r="I270" s="3"/>
      <c r="J270" s="3"/>
      <c r="P270" s="2">
        <v>627</v>
      </c>
      <c r="Q270">
        <v>0.70759000000000005</v>
      </c>
      <c r="R270">
        <v>0.29785</v>
      </c>
      <c r="S270" s="3">
        <v>7.4599999999999997E-5</v>
      </c>
    </row>
    <row r="271" spans="9:19">
      <c r="I271" s="3"/>
      <c r="J271" s="3"/>
      <c r="P271" s="2">
        <v>628</v>
      </c>
      <c r="Q271">
        <v>0.68559999999999999</v>
      </c>
      <c r="R271">
        <v>0.28659000000000001</v>
      </c>
      <c r="S271" s="3">
        <v>6.4999999999999994E-5</v>
      </c>
    </row>
    <row r="272" spans="9:19">
      <c r="I272" s="3"/>
      <c r="J272" s="3"/>
      <c r="P272" s="2">
        <v>629</v>
      </c>
      <c r="Q272">
        <v>0.66381000000000001</v>
      </c>
      <c r="R272">
        <v>0.27561999999999998</v>
      </c>
      <c r="S272" s="3">
        <v>5.6933299999999999E-5</v>
      </c>
    </row>
    <row r="273" spans="9:19">
      <c r="I273" s="3"/>
      <c r="J273" s="3"/>
      <c r="P273" s="2">
        <v>630</v>
      </c>
      <c r="Q273">
        <v>0.64239999999999997</v>
      </c>
      <c r="R273">
        <v>0.26500000000000001</v>
      </c>
      <c r="S273" s="3">
        <v>5.0000000000000002E-5</v>
      </c>
    </row>
    <row r="274" spans="9:19">
      <c r="I274" s="3"/>
      <c r="J274" s="3"/>
      <c r="P274" s="2">
        <v>631</v>
      </c>
      <c r="Q274">
        <v>0.62151000000000001</v>
      </c>
      <c r="R274">
        <v>0.25475999999999999</v>
      </c>
      <c r="S274" s="3">
        <v>4.4159999999999997E-5</v>
      </c>
    </row>
    <row r="275" spans="9:19">
      <c r="I275" s="3"/>
      <c r="J275" s="3"/>
      <c r="P275" s="2">
        <v>632</v>
      </c>
      <c r="Q275">
        <v>0.60111000000000003</v>
      </c>
      <c r="R275">
        <v>0.24489</v>
      </c>
      <c r="S275" s="3">
        <v>3.9480000000000001E-5</v>
      </c>
    </row>
    <row r="276" spans="9:19">
      <c r="I276" s="3"/>
      <c r="J276" s="3"/>
      <c r="P276" s="2">
        <v>633</v>
      </c>
      <c r="Q276">
        <v>0.58111000000000002</v>
      </c>
      <c r="R276">
        <v>0.23533000000000001</v>
      </c>
      <c r="S276" s="3">
        <v>3.5719999999999997E-5</v>
      </c>
    </row>
    <row r="277" spans="9:19">
      <c r="I277" s="3"/>
      <c r="J277" s="3"/>
      <c r="P277" s="2">
        <v>634</v>
      </c>
      <c r="Q277">
        <v>0.56140000000000001</v>
      </c>
      <c r="R277">
        <v>0.22605</v>
      </c>
      <c r="S277" s="3">
        <v>3.2639999999999999E-5</v>
      </c>
    </row>
    <row r="278" spans="9:19">
      <c r="I278" s="3"/>
      <c r="J278" s="3"/>
      <c r="P278" s="2">
        <v>635</v>
      </c>
      <c r="Q278">
        <v>0.54190000000000005</v>
      </c>
      <c r="R278">
        <v>0.217</v>
      </c>
      <c r="S278" s="3">
        <v>3.0000000000000001E-5</v>
      </c>
    </row>
    <row r="279" spans="9:19">
      <c r="I279" s="3"/>
      <c r="J279" s="3"/>
      <c r="P279" s="2">
        <v>636</v>
      </c>
      <c r="Q279">
        <v>0.52259999999999995</v>
      </c>
      <c r="R279">
        <v>0.20816000000000001</v>
      </c>
      <c r="S279" s="3">
        <v>2.7653299999999998E-5</v>
      </c>
    </row>
    <row r="280" spans="9:19">
      <c r="I280" s="3"/>
      <c r="J280" s="3"/>
      <c r="P280" s="2">
        <v>637</v>
      </c>
      <c r="Q280">
        <v>0.50355000000000005</v>
      </c>
      <c r="R280">
        <v>0.19955000000000001</v>
      </c>
      <c r="S280" s="3">
        <v>2.5559999999999999E-5</v>
      </c>
    </row>
    <row r="281" spans="9:19">
      <c r="I281" s="3"/>
      <c r="J281" s="3"/>
      <c r="P281" s="2">
        <v>638</v>
      </c>
      <c r="Q281">
        <v>0.48474</v>
      </c>
      <c r="R281">
        <v>0.19116</v>
      </c>
      <c r="S281" s="3">
        <v>2.3640000000000001E-5</v>
      </c>
    </row>
    <row r="282" spans="9:19">
      <c r="I282" s="3"/>
      <c r="J282" s="3"/>
      <c r="P282" s="2">
        <v>639</v>
      </c>
      <c r="Q282">
        <v>0.46618999999999999</v>
      </c>
      <c r="R282">
        <v>0.18296999999999999</v>
      </c>
      <c r="S282" s="3">
        <v>2.18133E-5</v>
      </c>
    </row>
    <row r="283" spans="9:19">
      <c r="I283" s="3"/>
      <c r="J283" s="3"/>
      <c r="P283" s="2">
        <v>640</v>
      </c>
      <c r="Q283">
        <v>0.44790000000000002</v>
      </c>
      <c r="R283">
        <v>0.17499999999999999</v>
      </c>
      <c r="S283" s="3">
        <v>2.0000000000000002E-5</v>
      </c>
    </row>
    <row r="284" spans="9:19">
      <c r="I284" s="3"/>
      <c r="J284" s="3"/>
      <c r="P284" s="2">
        <v>641</v>
      </c>
      <c r="Q284">
        <v>0.42986000000000002</v>
      </c>
      <c r="R284">
        <v>0.16722000000000001</v>
      </c>
      <c r="S284" s="3">
        <v>1.8133300000000001E-5</v>
      </c>
    </row>
    <row r="285" spans="9:19">
      <c r="I285" s="3"/>
      <c r="J285" s="3"/>
      <c r="P285" s="2">
        <v>642</v>
      </c>
      <c r="Q285">
        <v>0.41210000000000002</v>
      </c>
      <c r="R285">
        <v>0.15964999999999999</v>
      </c>
      <c r="S285" s="3">
        <v>1.6200000000000001E-5</v>
      </c>
    </row>
    <row r="286" spans="9:19">
      <c r="I286" s="3"/>
      <c r="J286" s="3"/>
      <c r="P286" s="2">
        <v>643</v>
      </c>
      <c r="Q286">
        <v>0.39463999999999999</v>
      </c>
      <c r="R286">
        <v>0.15228</v>
      </c>
      <c r="S286" s="3">
        <v>1.42E-5</v>
      </c>
    </row>
    <row r="287" spans="9:19">
      <c r="I287" s="3"/>
      <c r="J287" s="3"/>
      <c r="P287" s="2">
        <v>644</v>
      </c>
      <c r="Q287">
        <v>0.37752999999999998</v>
      </c>
      <c r="R287">
        <v>0.14513000000000001</v>
      </c>
      <c r="S287" s="3">
        <v>1.21333E-5</v>
      </c>
    </row>
    <row r="288" spans="9:19">
      <c r="I288" s="3"/>
      <c r="J288" s="3"/>
      <c r="P288" s="2">
        <v>645</v>
      </c>
      <c r="Q288">
        <v>0.36080000000000001</v>
      </c>
      <c r="R288">
        <v>0.13819999999999999</v>
      </c>
      <c r="S288" s="3">
        <v>1.0000000000000001E-5</v>
      </c>
    </row>
    <row r="289" spans="9:19">
      <c r="I289" s="3"/>
      <c r="J289" s="3"/>
      <c r="P289" s="2">
        <v>646</v>
      </c>
      <c r="Q289">
        <v>0.34445999999999999</v>
      </c>
      <c r="R289">
        <v>0.13150000000000001</v>
      </c>
      <c r="S289" s="3">
        <v>7.7333299999999997E-6</v>
      </c>
    </row>
    <row r="290" spans="9:19">
      <c r="I290" s="3"/>
      <c r="J290" s="3"/>
      <c r="P290" s="2">
        <v>647</v>
      </c>
      <c r="Q290">
        <v>0.32851999999999998</v>
      </c>
      <c r="R290">
        <v>0.12501999999999999</v>
      </c>
      <c r="S290" s="3">
        <v>5.4E-6</v>
      </c>
    </row>
    <row r="291" spans="9:19">
      <c r="I291" s="3"/>
      <c r="J291" s="3"/>
      <c r="P291" s="2">
        <v>648</v>
      </c>
      <c r="Q291">
        <v>0.31302000000000002</v>
      </c>
      <c r="R291">
        <v>0.11878</v>
      </c>
      <c r="S291" s="3">
        <v>3.1999999999999999E-6</v>
      </c>
    </row>
    <row r="292" spans="9:19">
      <c r="I292" s="3"/>
      <c r="J292" s="3"/>
      <c r="P292" s="2">
        <v>649</v>
      </c>
      <c r="Q292">
        <v>0.29799999999999999</v>
      </c>
      <c r="R292">
        <v>0.11277</v>
      </c>
      <c r="S292" s="3">
        <v>1.33333E-6</v>
      </c>
    </row>
    <row r="293" spans="9:19">
      <c r="P293" s="2">
        <v>650</v>
      </c>
      <c r="Q293">
        <v>0.28349999999999997</v>
      </c>
      <c r="R293">
        <v>0.107</v>
      </c>
      <c r="S293">
        <v>0</v>
      </c>
    </row>
    <row r="294" spans="9:19">
      <c r="P294" s="2">
        <v>651</v>
      </c>
      <c r="Q294">
        <v>0.26954</v>
      </c>
      <c r="R294">
        <v>0.10148</v>
      </c>
      <c r="S294">
        <v>0</v>
      </c>
    </row>
    <row r="295" spans="9:19">
      <c r="P295" s="2">
        <v>652</v>
      </c>
      <c r="Q295">
        <v>0.25612000000000001</v>
      </c>
      <c r="R295">
        <v>9.6189999999999998E-2</v>
      </c>
      <c r="S295">
        <v>0</v>
      </c>
    </row>
    <row r="296" spans="9:19">
      <c r="P296" s="2">
        <v>653</v>
      </c>
      <c r="Q296">
        <v>0.24318999999999999</v>
      </c>
      <c r="R296">
        <v>9.1120000000000007E-2</v>
      </c>
      <c r="S296">
        <v>0</v>
      </c>
    </row>
    <row r="297" spans="9:19">
      <c r="P297" s="2">
        <v>654</v>
      </c>
      <c r="Q297">
        <v>0.23072999999999999</v>
      </c>
      <c r="R297">
        <v>8.6260000000000003E-2</v>
      </c>
      <c r="S297">
        <v>0</v>
      </c>
    </row>
    <row r="298" spans="9:19">
      <c r="P298" s="2">
        <v>655</v>
      </c>
      <c r="Q298">
        <v>0.21870000000000001</v>
      </c>
      <c r="R298">
        <v>8.1600000000000006E-2</v>
      </c>
      <c r="S298">
        <v>0</v>
      </c>
    </row>
    <row r="299" spans="9:19">
      <c r="P299" s="2">
        <v>656</v>
      </c>
      <c r="Q299">
        <v>0.20710000000000001</v>
      </c>
      <c r="R299">
        <v>7.7119999999999994E-2</v>
      </c>
      <c r="S299">
        <v>0</v>
      </c>
    </row>
    <row r="300" spans="9:19">
      <c r="P300" s="2">
        <v>657</v>
      </c>
      <c r="Q300">
        <v>0.19592000000000001</v>
      </c>
      <c r="R300">
        <v>7.2830000000000006E-2</v>
      </c>
      <c r="S300">
        <v>0</v>
      </c>
    </row>
    <row r="301" spans="9:19">
      <c r="P301" s="2">
        <v>658</v>
      </c>
      <c r="Q301">
        <v>0.18517</v>
      </c>
      <c r="R301">
        <v>6.8709999999999993E-2</v>
      </c>
      <c r="S301">
        <v>0</v>
      </c>
    </row>
    <row r="302" spans="9:19">
      <c r="P302" s="2">
        <v>659</v>
      </c>
      <c r="Q302">
        <v>0.17483000000000001</v>
      </c>
      <c r="R302">
        <v>6.4769999999999994E-2</v>
      </c>
      <c r="S302">
        <v>0</v>
      </c>
    </row>
    <row r="303" spans="9:19">
      <c r="P303" s="2">
        <v>660</v>
      </c>
      <c r="Q303">
        <v>0.16489999999999999</v>
      </c>
      <c r="R303">
        <v>6.0999999999999999E-2</v>
      </c>
      <c r="S303">
        <v>0</v>
      </c>
    </row>
    <row r="304" spans="9:19">
      <c r="P304" s="2">
        <v>661</v>
      </c>
      <c r="Q304">
        <v>0.15537000000000001</v>
      </c>
      <c r="R304">
        <v>5.74E-2</v>
      </c>
      <c r="S304">
        <v>0</v>
      </c>
    </row>
    <row r="305" spans="16:19">
      <c r="P305" s="2">
        <v>662</v>
      </c>
      <c r="Q305">
        <v>0.14623</v>
      </c>
      <c r="R305">
        <v>5.3960000000000001E-2</v>
      </c>
      <c r="S305">
        <v>0</v>
      </c>
    </row>
    <row r="306" spans="16:19">
      <c r="P306" s="2">
        <v>663</v>
      </c>
      <c r="Q306">
        <v>0.13749</v>
      </c>
      <c r="R306">
        <v>5.067E-2</v>
      </c>
      <c r="S306">
        <v>0</v>
      </c>
    </row>
    <row r="307" spans="16:19">
      <c r="P307" s="2">
        <v>664</v>
      </c>
      <c r="Q307">
        <v>0.12914999999999999</v>
      </c>
      <c r="R307">
        <v>4.7550000000000002E-2</v>
      </c>
      <c r="S307">
        <v>0</v>
      </c>
    </row>
    <row r="308" spans="16:19">
      <c r="P308" s="2">
        <v>665</v>
      </c>
      <c r="Q308">
        <v>0.1212</v>
      </c>
      <c r="R308">
        <v>4.4580000000000002E-2</v>
      </c>
      <c r="S308">
        <v>0</v>
      </c>
    </row>
    <row r="309" spans="16:19">
      <c r="P309" s="2">
        <v>666</v>
      </c>
      <c r="Q309">
        <v>0.11364</v>
      </c>
      <c r="R309">
        <v>4.1759999999999999E-2</v>
      </c>
      <c r="S309">
        <v>0</v>
      </c>
    </row>
    <row r="310" spans="16:19">
      <c r="P310" s="2">
        <v>667</v>
      </c>
      <c r="Q310">
        <v>0.10647</v>
      </c>
      <c r="R310">
        <v>3.9079999999999997E-2</v>
      </c>
      <c r="S310">
        <v>0</v>
      </c>
    </row>
    <row r="311" spans="16:19">
      <c r="P311" s="2">
        <v>668</v>
      </c>
      <c r="Q311">
        <v>9.9690000000000001E-2</v>
      </c>
      <c r="R311">
        <v>3.6560000000000002E-2</v>
      </c>
      <c r="S311">
        <v>0</v>
      </c>
    </row>
    <row r="312" spans="16:19">
      <c r="P312" s="2">
        <v>669</v>
      </c>
      <c r="Q312">
        <v>9.3329999999999996E-2</v>
      </c>
      <c r="R312">
        <v>3.4200000000000001E-2</v>
      </c>
      <c r="S312">
        <v>0</v>
      </c>
    </row>
    <row r="313" spans="16:19">
      <c r="P313" s="2">
        <v>670</v>
      </c>
      <c r="Q313">
        <v>8.7400000000000005E-2</v>
      </c>
      <c r="R313">
        <v>3.2000000000000001E-2</v>
      </c>
      <c r="S313">
        <v>0</v>
      </c>
    </row>
    <row r="314" spans="16:19">
      <c r="P314" s="2">
        <v>671</v>
      </c>
      <c r="Q314">
        <v>8.1900000000000001E-2</v>
      </c>
      <c r="R314">
        <v>2.9960000000000001E-2</v>
      </c>
      <c r="S314">
        <v>0</v>
      </c>
    </row>
    <row r="315" spans="16:19">
      <c r="P315" s="2">
        <v>672</v>
      </c>
      <c r="Q315">
        <v>7.6799999999999993E-2</v>
      </c>
      <c r="R315">
        <v>2.8080000000000001E-2</v>
      </c>
      <c r="S315">
        <v>0</v>
      </c>
    </row>
    <row r="316" spans="16:19">
      <c r="P316" s="2">
        <v>673</v>
      </c>
      <c r="Q316">
        <v>7.2080000000000005E-2</v>
      </c>
      <c r="R316">
        <v>2.6329999999999999E-2</v>
      </c>
      <c r="S316">
        <v>0</v>
      </c>
    </row>
    <row r="317" spans="16:19">
      <c r="P317" s="2">
        <v>674</v>
      </c>
      <c r="Q317">
        <v>6.769E-2</v>
      </c>
      <c r="R317">
        <v>2.4709999999999999E-2</v>
      </c>
      <c r="S317">
        <v>0</v>
      </c>
    </row>
    <row r="318" spans="16:19">
      <c r="P318" s="2">
        <v>675</v>
      </c>
      <c r="Q318">
        <v>6.3600000000000004E-2</v>
      </c>
      <c r="R318">
        <v>2.3199999999999998E-2</v>
      </c>
      <c r="S318">
        <v>0</v>
      </c>
    </row>
    <row r="319" spans="16:19">
      <c r="P319" s="2">
        <v>676</v>
      </c>
      <c r="Q319">
        <v>5.9810000000000002E-2</v>
      </c>
      <c r="R319">
        <v>2.18E-2</v>
      </c>
      <c r="S319">
        <v>0</v>
      </c>
    </row>
    <row r="320" spans="16:19">
      <c r="P320" s="2">
        <v>677</v>
      </c>
      <c r="Q320">
        <v>5.6279999999999997E-2</v>
      </c>
      <c r="R320">
        <v>2.0500000000000001E-2</v>
      </c>
      <c r="S320">
        <v>0</v>
      </c>
    </row>
    <row r="321" spans="16:19">
      <c r="P321" s="2">
        <v>678</v>
      </c>
      <c r="Q321">
        <v>5.2970000000000003E-2</v>
      </c>
      <c r="R321">
        <v>1.9279999999999999E-2</v>
      </c>
      <c r="S321">
        <v>0</v>
      </c>
    </row>
    <row r="322" spans="16:19">
      <c r="P322" s="2">
        <v>679</v>
      </c>
      <c r="Q322">
        <v>4.9820000000000003E-2</v>
      </c>
      <c r="R322">
        <v>1.8120000000000001E-2</v>
      </c>
      <c r="S322">
        <v>0</v>
      </c>
    </row>
    <row r="323" spans="16:19">
      <c r="P323" s="2">
        <v>680</v>
      </c>
      <c r="Q323">
        <v>4.6769999999999999E-2</v>
      </c>
      <c r="R323">
        <v>1.7000000000000001E-2</v>
      </c>
      <c r="S323">
        <v>0</v>
      </c>
    </row>
    <row r="324" spans="16:19">
      <c r="P324" s="2">
        <v>681</v>
      </c>
      <c r="Q324">
        <v>4.3779999999999999E-2</v>
      </c>
      <c r="R324">
        <v>1.5900000000000001E-2</v>
      </c>
      <c r="S324">
        <v>0</v>
      </c>
    </row>
    <row r="325" spans="16:19">
      <c r="P325" s="2">
        <v>682</v>
      </c>
      <c r="Q325">
        <v>4.088E-2</v>
      </c>
      <c r="R325">
        <v>1.4840000000000001E-2</v>
      </c>
      <c r="S325">
        <v>0</v>
      </c>
    </row>
    <row r="326" spans="16:19">
      <c r="P326" s="2">
        <v>683</v>
      </c>
      <c r="Q326">
        <v>3.807E-2</v>
      </c>
      <c r="R326">
        <v>1.3809999999999999E-2</v>
      </c>
      <c r="S326">
        <v>0</v>
      </c>
    </row>
    <row r="327" spans="16:19">
      <c r="P327" s="2">
        <v>684</v>
      </c>
      <c r="Q327">
        <v>3.5400000000000001E-2</v>
      </c>
      <c r="R327">
        <v>1.2829999999999999E-2</v>
      </c>
      <c r="S327">
        <v>0</v>
      </c>
    </row>
    <row r="328" spans="16:19">
      <c r="P328" s="2">
        <v>685</v>
      </c>
      <c r="Q328">
        <v>3.2899999999999999E-2</v>
      </c>
      <c r="R328">
        <v>1.192E-2</v>
      </c>
      <c r="S328">
        <v>0</v>
      </c>
    </row>
    <row r="329" spans="16:19">
      <c r="P329" s="2">
        <v>686</v>
      </c>
      <c r="Q329">
        <v>3.056E-2</v>
      </c>
      <c r="R329">
        <v>1.107E-2</v>
      </c>
      <c r="S329">
        <v>0</v>
      </c>
    </row>
    <row r="330" spans="16:19">
      <c r="P330" s="2">
        <v>687</v>
      </c>
      <c r="Q330">
        <v>2.8379999999999999E-2</v>
      </c>
      <c r="R330">
        <v>1.027E-2</v>
      </c>
      <c r="S330">
        <v>0</v>
      </c>
    </row>
    <row r="331" spans="16:19">
      <c r="P331" s="2">
        <v>688</v>
      </c>
      <c r="Q331">
        <v>2.6339999999999999E-2</v>
      </c>
      <c r="R331">
        <v>9.5300000000000003E-3</v>
      </c>
      <c r="S331">
        <v>0</v>
      </c>
    </row>
    <row r="332" spans="16:19">
      <c r="P332" s="2">
        <v>689</v>
      </c>
      <c r="Q332">
        <v>2.445E-2</v>
      </c>
      <c r="R332">
        <v>8.8500000000000002E-3</v>
      </c>
      <c r="S332">
        <v>0</v>
      </c>
    </row>
    <row r="333" spans="16:19">
      <c r="P333" s="2">
        <v>690</v>
      </c>
      <c r="Q333">
        <v>2.2700000000000001E-2</v>
      </c>
      <c r="R333">
        <v>8.2100000000000003E-3</v>
      </c>
      <c r="S333">
        <v>0</v>
      </c>
    </row>
    <row r="334" spans="16:19">
      <c r="P334" s="2">
        <v>691</v>
      </c>
      <c r="Q334">
        <v>2.1080000000000002E-2</v>
      </c>
      <c r="R334">
        <v>7.62E-3</v>
      </c>
      <c r="S334">
        <v>0</v>
      </c>
    </row>
    <row r="335" spans="16:19">
      <c r="P335" s="2">
        <v>692</v>
      </c>
      <c r="Q335">
        <v>1.9599999999999999E-2</v>
      </c>
      <c r="R335">
        <v>7.0899999999999999E-3</v>
      </c>
      <c r="S335">
        <v>0</v>
      </c>
    </row>
    <row r="336" spans="16:19">
      <c r="P336" s="2">
        <v>693</v>
      </c>
      <c r="Q336">
        <v>1.8239999999999999E-2</v>
      </c>
      <c r="R336">
        <v>6.5900000000000004E-3</v>
      </c>
      <c r="S336">
        <v>0</v>
      </c>
    </row>
    <row r="337" spans="16:19">
      <c r="P337" s="2">
        <v>694</v>
      </c>
      <c r="Q337">
        <v>1.6990000000000002E-2</v>
      </c>
      <c r="R337">
        <v>6.1399999999999996E-3</v>
      </c>
      <c r="S337">
        <v>0</v>
      </c>
    </row>
    <row r="338" spans="16:19">
      <c r="P338" s="2">
        <v>695</v>
      </c>
      <c r="Q338">
        <v>1.584E-2</v>
      </c>
      <c r="R338">
        <v>5.7200000000000003E-3</v>
      </c>
      <c r="S338">
        <v>0</v>
      </c>
    </row>
    <row r="339" spans="16:19">
      <c r="P339" s="2">
        <v>696</v>
      </c>
      <c r="Q339">
        <v>1.4789999999999999E-2</v>
      </c>
      <c r="R339">
        <v>5.3400000000000001E-3</v>
      </c>
      <c r="S339">
        <v>0</v>
      </c>
    </row>
    <row r="340" spans="16:19">
      <c r="P340" s="2">
        <v>697</v>
      </c>
      <c r="Q340">
        <v>1.383E-2</v>
      </c>
      <c r="R340">
        <v>5.0000000000000001E-3</v>
      </c>
      <c r="S340">
        <v>0</v>
      </c>
    </row>
    <row r="341" spans="16:19">
      <c r="P341" s="2">
        <v>698</v>
      </c>
      <c r="Q341">
        <v>1.295E-2</v>
      </c>
      <c r="R341">
        <v>4.6800000000000001E-3</v>
      </c>
      <c r="S341">
        <v>0</v>
      </c>
    </row>
    <row r="342" spans="16:19">
      <c r="P342" s="2">
        <v>699</v>
      </c>
      <c r="Q342">
        <v>1.213E-2</v>
      </c>
      <c r="R342">
        <v>4.3800000000000002E-3</v>
      </c>
      <c r="S342">
        <v>0</v>
      </c>
    </row>
    <row r="343" spans="16:19">
      <c r="P343" s="2">
        <v>700</v>
      </c>
      <c r="Q343">
        <v>1.136E-2</v>
      </c>
      <c r="R343">
        <v>4.1000000000000003E-3</v>
      </c>
      <c r="S343">
        <v>0</v>
      </c>
    </row>
    <row r="344" spans="16:19">
      <c r="P344" s="2">
        <v>701</v>
      </c>
      <c r="Q344">
        <v>1.0630000000000001E-2</v>
      </c>
      <c r="R344">
        <v>3.8400000000000001E-3</v>
      </c>
      <c r="S344">
        <v>0</v>
      </c>
    </row>
    <row r="345" spans="16:19">
      <c r="P345" s="2">
        <v>702</v>
      </c>
      <c r="Q345">
        <v>9.9399999999999992E-3</v>
      </c>
      <c r="R345">
        <v>3.5899999999999999E-3</v>
      </c>
      <c r="S345">
        <v>0</v>
      </c>
    </row>
    <row r="346" spans="16:19">
      <c r="P346" s="2">
        <v>703</v>
      </c>
      <c r="Q346">
        <v>9.2899999999999996E-3</v>
      </c>
      <c r="R346">
        <v>3.3500000000000001E-3</v>
      </c>
      <c r="S346">
        <v>0</v>
      </c>
    </row>
    <row r="347" spans="16:19">
      <c r="P347" s="2">
        <v>704</v>
      </c>
      <c r="Q347">
        <v>8.6800000000000002E-3</v>
      </c>
      <c r="R347">
        <v>3.13E-3</v>
      </c>
      <c r="S347">
        <v>0</v>
      </c>
    </row>
    <row r="348" spans="16:19">
      <c r="P348" s="2">
        <v>705</v>
      </c>
      <c r="Q348">
        <v>8.1099999999999992E-3</v>
      </c>
      <c r="R348">
        <v>2.9299999999999999E-3</v>
      </c>
      <c r="S348">
        <v>0</v>
      </c>
    </row>
    <row r="349" spans="16:19">
      <c r="P349" s="2">
        <v>706</v>
      </c>
      <c r="Q349">
        <v>7.5799999999999999E-3</v>
      </c>
      <c r="R349">
        <v>2.7399999999999998E-3</v>
      </c>
      <c r="S349">
        <v>0</v>
      </c>
    </row>
    <row r="350" spans="16:19">
      <c r="P350" s="2">
        <v>707</v>
      </c>
      <c r="Q350">
        <v>7.0899999999999999E-3</v>
      </c>
      <c r="R350">
        <v>2.5600000000000002E-3</v>
      </c>
      <c r="S350">
        <v>0</v>
      </c>
    </row>
    <row r="351" spans="16:19">
      <c r="P351" s="2">
        <v>708</v>
      </c>
      <c r="Q351">
        <v>6.6299999999999996E-3</v>
      </c>
      <c r="R351">
        <v>2.3900000000000002E-3</v>
      </c>
      <c r="S351">
        <v>0</v>
      </c>
    </row>
    <row r="352" spans="16:19">
      <c r="P352" s="2">
        <v>709</v>
      </c>
      <c r="Q352">
        <v>6.1999999999999998E-3</v>
      </c>
      <c r="R352">
        <v>2.2399999999999998E-3</v>
      </c>
      <c r="S352">
        <v>0</v>
      </c>
    </row>
    <row r="353" spans="8:19">
      <c r="P353" s="2">
        <v>710</v>
      </c>
      <c r="Q353">
        <v>5.79E-3</v>
      </c>
      <c r="R353">
        <v>2.0899999999999998E-3</v>
      </c>
      <c r="S353">
        <v>0</v>
      </c>
    </row>
    <row r="354" spans="8:19">
      <c r="P354" s="2">
        <v>711</v>
      </c>
      <c r="Q354">
        <v>5.4099999999999999E-3</v>
      </c>
      <c r="R354">
        <v>1.9499999999999999E-3</v>
      </c>
      <c r="S354">
        <v>0</v>
      </c>
    </row>
    <row r="355" spans="8:19">
      <c r="P355" s="2">
        <v>712</v>
      </c>
      <c r="Q355">
        <v>5.0499999999999998E-3</v>
      </c>
      <c r="R355">
        <v>1.82E-3</v>
      </c>
      <c r="S355">
        <v>0</v>
      </c>
    </row>
    <row r="356" spans="8:19">
      <c r="P356" s="2">
        <v>713</v>
      </c>
      <c r="Q356">
        <v>4.7200000000000002E-3</v>
      </c>
      <c r="R356">
        <v>1.6999999999999999E-3</v>
      </c>
      <c r="S356">
        <v>0</v>
      </c>
    </row>
    <row r="357" spans="8:19">
      <c r="P357" s="2">
        <v>714</v>
      </c>
      <c r="Q357">
        <v>4.4000000000000003E-3</v>
      </c>
      <c r="R357">
        <v>1.5900000000000001E-3</v>
      </c>
      <c r="S357">
        <v>0</v>
      </c>
    </row>
    <row r="358" spans="8:19">
      <c r="P358" s="2">
        <v>715</v>
      </c>
      <c r="Q358">
        <v>4.1099999999999999E-3</v>
      </c>
      <c r="R358">
        <v>1.48E-3</v>
      </c>
      <c r="S358">
        <v>0</v>
      </c>
    </row>
    <row r="359" spans="8:19">
      <c r="P359" s="2">
        <v>716</v>
      </c>
      <c r="Q359">
        <v>3.8300000000000001E-3</v>
      </c>
      <c r="R359">
        <v>1.3799999999999999E-3</v>
      </c>
      <c r="S359">
        <v>0</v>
      </c>
    </row>
    <row r="360" spans="8:19">
      <c r="P360" s="2">
        <v>717</v>
      </c>
      <c r="Q360">
        <v>3.5799999999999998E-3</v>
      </c>
      <c r="R360">
        <v>1.2899999999999999E-3</v>
      </c>
      <c r="S360">
        <v>0</v>
      </c>
    </row>
    <row r="361" spans="8:19">
      <c r="P361" s="2">
        <v>718</v>
      </c>
      <c r="Q361">
        <v>3.3300000000000001E-3</v>
      </c>
      <c r="R361">
        <v>1.1999999999999999E-3</v>
      </c>
      <c r="S361">
        <v>0</v>
      </c>
    </row>
    <row r="362" spans="8:19">
      <c r="P362" s="2">
        <v>719</v>
      </c>
      <c r="Q362">
        <v>3.1099999999999999E-3</v>
      </c>
      <c r="R362">
        <v>1.1199999999999999E-3</v>
      </c>
      <c r="S362">
        <v>0</v>
      </c>
    </row>
    <row r="363" spans="8:19">
      <c r="P363" s="2">
        <v>720</v>
      </c>
      <c r="Q363">
        <v>2.8999999999999998E-3</v>
      </c>
      <c r="R363">
        <v>1.0499999999999999E-3</v>
      </c>
      <c r="S363">
        <v>0</v>
      </c>
    </row>
    <row r="364" spans="8:19">
      <c r="H364" s="3"/>
      <c r="P364" s="2">
        <v>721</v>
      </c>
      <c r="Q364">
        <v>2.7000000000000001E-3</v>
      </c>
      <c r="R364" s="3">
        <v>9.7659000000000005E-4</v>
      </c>
      <c r="S364">
        <v>0</v>
      </c>
    </row>
    <row r="365" spans="8:19">
      <c r="H365" s="3"/>
      <c r="P365" s="2">
        <v>722</v>
      </c>
      <c r="Q365">
        <v>2.5200000000000001E-3</v>
      </c>
      <c r="R365" s="3">
        <v>9.1110900000000001E-4</v>
      </c>
      <c r="S365">
        <v>0</v>
      </c>
    </row>
    <row r="366" spans="8:19">
      <c r="H366" s="3"/>
      <c r="P366" s="2">
        <v>723</v>
      </c>
      <c r="Q366">
        <v>2.3500000000000001E-3</v>
      </c>
      <c r="R366" s="3">
        <v>8.5013299999999999E-4</v>
      </c>
      <c r="S366">
        <v>0</v>
      </c>
    </row>
    <row r="367" spans="8:19">
      <c r="H367" s="3"/>
      <c r="P367" s="2">
        <v>724</v>
      </c>
      <c r="Q367">
        <v>2.2000000000000001E-3</v>
      </c>
      <c r="R367" s="3">
        <v>7.9323800000000004E-4</v>
      </c>
      <c r="S367">
        <v>0</v>
      </c>
    </row>
    <row r="368" spans="8:19">
      <c r="H368" s="3"/>
      <c r="P368" s="2">
        <v>725</v>
      </c>
      <c r="Q368">
        <v>2.0500000000000002E-3</v>
      </c>
      <c r="R368" s="3">
        <v>7.3999999999999999E-4</v>
      </c>
      <c r="S368">
        <v>0</v>
      </c>
    </row>
    <row r="369" spans="7:19">
      <c r="H369" s="3"/>
      <c r="P369" s="2">
        <v>726</v>
      </c>
      <c r="Q369">
        <v>1.91E-3</v>
      </c>
      <c r="R369" s="3">
        <v>6.9008299999999997E-4</v>
      </c>
      <c r="S369">
        <v>0</v>
      </c>
    </row>
    <row r="370" spans="7:19">
      <c r="H370" s="3"/>
      <c r="P370" s="2">
        <v>727</v>
      </c>
      <c r="Q370">
        <v>1.7799999999999999E-3</v>
      </c>
      <c r="R370" s="3">
        <v>6.4331000000000002E-4</v>
      </c>
      <c r="S370">
        <v>0</v>
      </c>
    </row>
    <row r="371" spans="7:19">
      <c r="H371" s="3"/>
      <c r="P371" s="2">
        <v>728</v>
      </c>
      <c r="Q371">
        <v>1.66E-3</v>
      </c>
      <c r="R371" s="3">
        <v>5.9949600000000003E-4</v>
      </c>
      <c r="S371">
        <v>0</v>
      </c>
    </row>
    <row r="372" spans="7:19">
      <c r="H372" s="3"/>
      <c r="P372" s="2">
        <v>729</v>
      </c>
      <c r="Q372">
        <v>1.5499999999999999E-3</v>
      </c>
      <c r="R372" s="3">
        <v>5.5845500000000002E-4</v>
      </c>
      <c r="S372">
        <v>0</v>
      </c>
    </row>
    <row r="373" spans="7:19">
      <c r="H373" s="3"/>
      <c r="P373" s="2">
        <v>730</v>
      </c>
      <c r="Q373">
        <v>1.4400000000000001E-3</v>
      </c>
      <c r="R373" s="3">
        <v>5.1999999999999995E-4</v>
      </c>
      <c r="S373">
        <v>0</v>
      </c>
    </row>
    <row r="374" spans="7:19">
      <c r="H374" s="3"/>
      <c r="P374" s="2">
        <v>731</v>
      </c>
      <c r="Q374">
        <v>1.34E-3</v>
      </c>
      <c r="R374" s="3">
        <v>4.83914E-4</v>
      </c>
      <c r="S374">
        <v>0</v>
      </c>
    </row>
    <row r="375" spans="7:19">
      <c r="H375" s="3"/>
      <c r="P375" s="2">
        <v>732</v>
      </c>
      <c r="Q375">
        <v>1.25E-3</v>
      </c>
      <c r="R375" s="3">
        <v>4.5005300000000001E-4</v>
      </c>
      <c r="S375">
        <v>0</v>
      </c>
    </row>
    <row r="376" spans="7:19">
      <c r="H376" s="3"/>
      <c r="P376" s="2">
        <v>733</v>
      </c>
      <c r="Q376">
        <v>1.16E-3</v>
      </c>
      <c r="R376" s="3">
        <v>4.1834499999999998E-4</v>
      </c>
      <c r="S376">
        <v>0</v>
      </c>
    </row>
    <row r="377" spans="7:19">
      <c r="H377" s="3"/>
      <c r="P377" s="2">
        <v>734</v>
      </c>
      <c r="Q377">
        <v>1.08E-3</v>
      </c>
      <c r="R377" s="3">
        <v>3.8871799999999997E-4</v>
      </c>
      <c r="S377">
        <v>0</v>
      </c>
    </row>
    <row r="378" spans="7:19">
      <c r="G378" s="3"/>
      <c r="H378" s="3"/>
      <c r="P378" s="2">
        <v>735</v>
      </c>
      <c r="Q378" s="3">
        <v>9.9994899999999998E-4</v>
      </c>
      <c r="R378" s="3">
        <v>3.611E-4</v>
      </c>
      <c r="S378">
        <v>0</v>
      </c>
    </row>
    <row r="379" spans="7:19">
      <c r="G379" s="3"/>
      <c r="H379" s="3"/>
      <c r="P379" s="2">
        <v>736</v>
      </c>
      <c r="Q379" s="3">
        <v>9.2873599999999999E-4</v>
      </c>
      <c r="R379" s="3">
        <v>3.3538399999999999E-4</v>
      </c>
      <c r="S379">
        <v>0</v>
      </c>
    </row>
    <row r="380" spans="7:19">
      <c r="G380" s="3"/>
      <c r="H380" s="3"/>
      <c r="P380" s="2">
        <v>737</v>
      </c>
      <c r="Q380" s="3">
        <v>8.6243300000000001E-4</v>
      </c>
      <c r="R380" s="3">
        <v>3.1144000000000001E-4</v>
      </c>
      <c r="S380">
        <v>0</v>
      </c>
    </row>
    <row r="381" spans="7:19">
      <c r="G381" s="3"/>
      <c r="H381" s="3"/>
      <c r="P381" s="2">
        <v>738</v>
      </c>
      <c r="Q381" s="3">
        <v>8.0075000000000003E-4</v>
      </c>
      <c r="R381" s="3">
        <v>2.8916599999999999E-4</v>
      </c>
      <c r="S381">
        <v>0</v>
      </c>
    </row>
    <row r="382" spans="7:19">
      <c r="G382" s="3"/>
      <c r="H382" s="3"/>
      <c r="P382" s="2">
        <v>739</v>
      </c>
      <c r="Q382" s="3">
        <v>7.4339600000000001E-4</v>
      </c>
      <c r="R382" s="3">
        <v>2.68454E-4</v>
      </c>
      <c r="S382">
        <v>0</v>
      </c>
    </row>
    <row r="383" spans="7:19">
      <c r="G383" s="3"/>
      <c r="H383" s="3"/>
      <c r="P383" s="2">
        <v>740</v>
      </c>
      <c r="Q383" s="3">
        <v>6.9007900000000002E-4</v>
      </c>
      <c r="R383" s="3">
        <v>2.4919999999999999E-4</v>
      </c>
      <c r="S383">
        <v>0</v>
      </c>
    </row>
    <row r="384" spans="7:19">
      <c r="G384" s="3"/>
      <c r="H384" s="3"/>
      <c r="P384" s="2">
        <v>741</v>
      </c>
      <c r="Q384" s="3">
        <v>6.4051600000000005E-4</v>
      </c>
      <c r="R384" s="3">
        <v>2.3130199999999999E-4</v>
      </c>
      <c r="S384">
        <v>0</v>
      </c>
    </row>
    <row r="385" spans="7:19">
      <c r="G385" s="3"/>
      <c r="H385" s="3"/>
      <c r="P385" s="2">
        <v>742</v>
      </c>
      <c r="Q385" s="3">
        <v>5.9450200000000001E-4</v>
      </c>
      <c r="R385" s="3">
        <v>2.1468600000000001E-4</v>
      </c>
      <c r="S385">
        <v>0</v>
      </c>
    </row>
    <row r="386" spans="7:19">
      <c r="G386" s="3"/>
      <c r="H386" s="3"/>
      <c r="P386" s="2">
        <v>743</v>
      </c>
      <c r="Q386" s="3">
        <v>5.5186500000000002E-4</v>
      </c>
      <c r="R386" s="3">
        <v>1.9928799999999999E-4</v>
      </c>
      <c r="S386">
        <v>0</v>
      </c>
    </row>
    <row r="387" spans="7:19">
      <c r="G387" s="3"/>
      <c r="H387" s="3"/>
      <c r="P387" s="2">
        <v>744</v>
      </c>
      <c r="Q387" s="3">
        <v>5.1242900000000001E-4</v>
      </c>
      <c r="R387" s="3">
        <v>1.8504799999999999E-4</v>
      </c>
      <c r="S387">
        <v>0</v>
      </c>
    </row>
    <row r="388" spans="7:19">
      <c r="G388" s="3"/>
      <c r="H388" s="3"/>
      <c r="P388" s="2">
        <v>745</v>
      </c>
      <c r="Q388" s="3">
        <v>4.7602099999999997E-4</v>
      </c>
      <c r="R388" s="3">
        <v>1.719E-4</v>
      </c>
      <c r="S388">
        <v>0</v>
      </c>
    </row>
    <row r="389" spans="7:19">
      <c r="G389" s="3"/>
      <c r="H389" s="3"/>
      <c r="P389" s="2">
        <v>746</v>
      </c>
      <c r="Q389" s="3">
        <v>4.42454E-4</v>
      </c>
      <c r="R389" s="3">
        <v>1.5977799999999999E-4</v>
      </c>
      <c r="S389">
        <v>0</v>
      </c>
    </row>
    <row r="390" spans="7:19">
      <c r="G390" s="3"/>
      <c r="H390" s="3"/>
      <c r="P390" s="2">
        <v>747</v>
      </c>
      <c r="Q390" s="3">
        <v>4.11512E-4</v>
      </c>
      <c r="R390" s="3">
        <v>1.4860399999999999E-4</v>
      </c>
      <c r="S390">
        <v>0</v>
      </c>
    </row>
    <row r="391" spans="7:19">
      <c r="G391" s="3"/>
      <c r="H391" s="3"/>
      <c r="P391" s="2">
        <v>748</v>
      </c>
      <c r="Q391" s="3">
        <v>3.8298100000000001E-4</v>
      </c>
      <c r="R391" s="3">
        <v>1.3830200000000001E-4</v>
      </c>
      <c r="S391">
        <v>0</v>
      </c>
    </row>
    <row r="392" spans="7:19">
      <c r="G392" s="3"/>
      <c r="H392" s="3"/>
      <c r="P392" s="2">
        <v>749</v>
      </c>
      <c r="Q392" s="3">
        <v>3.5664900000000001E-4</v>
      </c>
      <c r="R392" s="3">
        <v>1.2879300000000001E-4</v>
      </c>
      <c r="S392">
        <v>0</v>
      </c>
    </row>
    <row r="393" spans="7:19">
      <c r="G393" s="3"/>
      <c r="H393" s="3"/>
      <c r="P393" s="2">
        <v>750</v>
      </c>
      <c r="Q393" s="3">
        <v>3.3230100000000002E-4</v>
      </c>
      <c r="R393" s="3">
        <v>1.2E-4</v>
      </c>
      <c r="S393">
        <v>0</v>
      </c>
    </row>
    <row r="394" spans="7:19">
      <c r="G394" s="3"/>
      <c r="H394" s="3"/>
      <c r="P394" s="2">
        <v>751</v>
      </c>
      <c r="Q394" s="3">
        <v>3.09759E-4</v>
      </c>
      <c r="R394" s="3">
        <v>1.1186E-4</v>
      </c>
      <c r="S394">
        <v>0</v>
      </c>
    </row>
    <row r="395" spans="7:19">
      <c r="G395" s="3"/>
      <c r="H395" s="3"/>
      <c r="P395" s="2">
        <v>752</v>
      </c>
      <c r="Q395" s="3">
        <v>2.8888699999999999E-4</v>
      </c>
      <c r="R395" s="3">
        <v>1.0432199999999999E-4</v>
      </c>
      <c r="S395">
        <v>0</v>
      </c>
    </row>
    <row r="396" spans="7:19">
      <c r="G396" s="3"/>
      <c r="H396" s="3"/>
      <c r="P396" s="2">
        <v>753</v>
      </c>
      <c r="Q396" s="3">
        <v>2.6953900000000001E-4</v>
      </c>
      <c r="R396" s="3">
        <v>9.7335600000000004E-5</v>
      </c>
      <c r="S396">
        <v>0</v>
      </c>
    </row>
    <row r="397" spans="7:19">
      <c r="G397" s="3"/>
      <c r="H397" s="3"/>
      <c r="P397" s="2">
        <v>754</v>
      </c>
      <c r="Q397" s="3">
        <v>2.5156799999999997E-4</v>
      </c>
      <c r="R397" s="3">
        <v>9.0845899999999997E-5</v>
      </c>
      <c r="S397">
        <v>0</v>
      </c>
    </row>
    <row r="398" spans="7:19">
      <c r="G398" s="3"/>
      <c r="H398" s="3"/>
      <c r="P398" s="2">
        <v>755</v>
      </c>
      <c r="Q398" s="3">
        <v>2.3482599999999999E-4</v>
      </c>
      <c r="R398" s="3">
        <v>8.4800000000000001E-5</v>
      </c>
      <c r="S398">
        <v>0</v>
      </c>
    </row>
    <row r="399" spans="7:19">
      <c r="G399" s="3"/>
      <c r="H399" s="3"/>
      <c r="P399" s="2">
        <v>756</v>
      </c>
      <c r="Q399" s="3">
        <v>2.1917099999999999E-4</v>
      </c>
      <c r="R399" s="3">
        <v>7.9146699999999999E-5</v>
      </c>
      <c r="S399">
        <v>0</v>
      </c>
    </row>
    <row r="400" spans="7:19">
      <c r="G400" s="3"/>
      <c r="H400" s="3"/>
      <c r="P400" s="2">
        <v>757</v>
      </c>
      <c r="Q400" s="3">
        <v>2.0452600000000001E-4</v>
      </c>
      <c r="R400" s="3">
        <v>7.3857999999999997E-5</v>
      </c>
      <c r="S400">
        <v>0</v>
      </c>
    </row>
    <row r="401" spans="7:19">
      <c r="G401" s="3"/>
      <c r="H401" s="3"/>
      <c r="P401" s="2">
        <v>758</v>
      </c>
      <c r="Q401" s="3">
        <v>1.90841E-4</v>
      </c>
      <c r="R401" s="3">
        <v>6.8916000000000002E-5</v>
      </c>
      <c r="S401">
        <v>0</v>
      </c>
    </row>
    <row r="402" spans="7:19">
      <c r="G402" s="3"/>
      <c r="H402" s="3"/>
      <c r="P402" s="2">
        <v>759</v>
      </c>
      <c r="Q402" s="3">
        <v>1.7806500000000001E-4</v>
      </c>
      <c r="R402" s="3">
        <v>6.4302700000000004E-5</v>
      </c>
      <c r="S402">
        <v>0</v>
      </c>
    </row>
    <row r="403" spans="7:19">
      <c r="G403" s="3"/>
      <c r="H403" s="3"/>
      <c r="P403" s="2">
        <v>760</v>
      </c>
      <c r="Q403" s="3">
        <v>1.6615099999999999E-4</v>
      </c>
      <c r="R403" s="3">
        <v>6.0000000000000002E-5</v>
      </c>
      <c r="S403">
        <v>0</v>
      </c>
    </row>
    <row r="404" spans="7:19">
      <c r="G404" s="3"/>
      <c r="H404" s="3"/>
      <c r="P404" s="2">
        <v>761</v>
      </c>
      <c r="Q404" s="3">
        <v>1.55024E-4</v>
      </c>
      <c r="R404" s="3">
        <v>5.59819E-5</v>
      </c>
      <c r="S404">
        <v>0</v>
      </c>
    </row>
    <row r="405" spans="7:19">
      <c r="G405" s="3"/>
      <c r="H405" s="3"/>
      <c r="P405" s="2">
        <v>762</v>
      </c>
      <c r="Q405" s="3">
        <v>1.4462200000000001E-4</v>
      </c>
      <c r="R405" s="3">
        <v>5.2225599999999997E-5</v>
      </c>
      <c r="S405">
        <v>0</v>
      </c>
    </row>
    <row r="406" spans="7:19">
      <c r="G406" s="3"/>
      <c r="H406" s="3"/>
      <c r="P406" s="2">
        <v>763</v>
      </c>
      <c r="Q406" s="3">
        <v>1.3490999999999999E-4</v>
      </c>
      <c r="R406" s="3">
        <v>4.8718399999999998E-5</v>
      </c>
      <c r="S406">
        <v>0</v>
      </c>
    </row>
    <row r="407" spans="7:19">
      <c r="G407" s="3"/>
      <c r="H407" s="3"/>
      <c r="P407" s="2">
        <v>764</v>
      </c>
      <c r="Q407" s="3">
        <v>1.25852E-4</v>
      </c>
      <c r="R407" s="3">
        <v>4.5447500000000002E-5</v>
      </c>
      <c r="S407">
        <v>0</v>
      </c>
    </row>
    <row r="408" spans="7:19">
      <c r="G408" s="3"/>
      <c r="H408" s="3"/>
      <c r="P408" s="2">
        <v>765</v>
      </c>
      <c r="Q408" s="3">
        <v>1.17413E-4</v>
      </c>
      <c r="R408" s="3">
        <v>4.2400000000000001E-5</v>
      </c>
      <c r="S408">
        <v>0</v>
      </c>
    </row>
    <row r="409" spans="7:19">
      <c r="G409" s="3"/>
      <c r="H409" s="3"/>
      <c r="P409" s="2">
        <v>766</v>
      </c>
      <c r="Q409" s="3">
        <v>1.09552E-4</v>
      </c>
      <c r="R409" s="3">
        <v>3.9561000000000003E-5</v>
      </c>
      <c r="S409">
        <v>0</v>
      </c>
    </row>
    <row r="410" spans="7:19">
      <c r="G410" s="3"/>
      <c r="H410" s="3"/>
      <c r="P410" s="2">
        <v>767</v>
      </c>
      <c r="Q410" s="3">
        <v>1.02225E-4</v>
      </c>
      <c r="R410" s="3">
        <v>3.6915100000000002E-5</v>
      </c>
      <c r="S410">
        <v>0</v>
      </c>
    </row>
    <row r="411" spans="7:19">
      <c r="G411" s="3"/>
      <c r="H411" s="3"/>
      <c r="P411" s="2">
        <v>768</v>
      </c>
      <c r="Q411" s="3">
        <v>9.5394499999999996E-5</v>
      </c>
      <c r="R411" s="3">
        <v>3.4448700000000001E-5</v>
      </c>
      <c r="S411">
        <v>0</v>
      </c>
    </row>
    <row r="412" spans="7:19">
      <c r="G412" s="3"/>
      <c r="H412" s="3"/>
      <c r="P412" s="2">
        <v>769</v>
      </c>
      <c r="Q412" s="3">
        <v>8.90239E-5</v>
      </c>
      <c r="R412" s="3">
        <v>3.2148199999999998E-5</v>
      </c>
      <c r="S412">
        <v>0</v>
      </c>
    </row>
    <row r="413" spans="7:19">
      <c r="G413" s="3"/>
      <c r="H413" s="3"/>
      <c r="P413" s="2">
        <v>770</v>
      </c>
      <c r="Q413" s="3">
        <v>8.3075299999999994E-5</v>
      </c>
      <c r="R413" s="3">
        <v>3.0000000000000001E-5</v>
      </c>
      <c r="S413">
        <v>0</v>
      </c>
    </row>
    <row r="414" spans="7:19">
      <c r="G414" s="3"/>
      <c r="H414" s="3"/>
      <c r="P414" s="2">
        <v>771</v>
      </c>
      <c r="Q414" s="3">
        <v>7.7512699999999994E-5</v>
      </c>
      <c r="R414" s="3">
        <v>2.7991300000000001E-5</v>
      </c>
      <c r="S414">
        <v>0</v>
      </c>
    </row>
    <row r="415" spans="7:19">
      <c r="G415" s="3"/>
      <c r="H415" s="3"/>
      <c r="P415" s="2">
        <v>772</v>
      </c>
      <c r="Q415" s="3">
        <v>7.2312999999999997E-5</v>
      </c>
      <c r="R415" s="3">
        <v>2.61136E-5</v>
      </c>
      <c r="S415">
        <v>0</v>
      </c>
    </row>
    <row r="416" spans="7:19">
      <c r="G416" s="3"/>
      <c r="H416" s="3"/>
      <c r="P416" s="2">
        <v>773</v>
      </c>
      <c r="Q416" s="3">
        <v>6.7457800000000003E-5</v>
      </c>
      <c r="R416" s="3">
        <v>2.4360200000000001E-5</v>
      </c>
      <c r="S416">
        <v>0</v>
      </c>
    </row>
    <row r="417" spans="7:19">
      <c r="G417" s="3"/>
      <c r="H417" s="3"/>
      <c r="P417" s="2">
        <v>774</v>
      </c>
      <c r="Q417" s="3">
        <v>6.2928400000000006E-5</v>
      </c>
      <c r="R417" s="3">
        <v>2.2724599999999999E-5</v>
      </c>
      <c r="S417">
        <v>0</v>
      </c>
    </row>
    <row r="418" spans="7:19">
      <c r="G418" s="3"/>
      <c r="H418" s="3"/>
      <c r="P418" s="2">
        <v>775</v>
      </c>
      <c r="Q418" s="3">
        <v>5.8706499999999998E-5</v>
      </c>
      <c r="R418" s="3">
        <v>2.12E-5</v>
      </c>
      <c r="S418">
        <v>0</v>
      </c>
    </row>
    <row r="419" spans="7:19">
      <c r="G419" s="3"/>
      <c r="H419" s="3"/>
      <c r="P419" s="2">
        <v>776</v>
      </c>
      <c r="Q419" s="3">
        <v>5.47703E-5</v>
      </c>
      <c r="R419" s="3">
        <v>1.9778600000000001E-5</v>
      </c>
      <c r="S419">
        <v>0</v>
      </c>
    </row>
    <row r="420" spans="7:19">
      <c r="G420" s="3"/>
      <c r="H420" s="3"/>
      <c r="P420" s="2">
        <v>777</v>
      </c>
      <c r="Q420" s="3">
        <v>5.10992E-5</v>
      </c>
      <c r="R420" s="3">
        <v>1.8452900000000001E-5</v>
      </c>
      <c r="S420">
        <v>0</v>
      </c>
    </row>
    <row r="421" spans="7:19">
      <c r="G421" s="3"/>
      <c r="H421" s="3"/>
      <c r="P421" s="2">
        <v>778</v>
      </c>
      <c r="Q421" s="3">
        <v>4.7676500000000003E-5</v>
      </c>
      <c r="R421" s="3">
        <v>1.7216900000000001E-5</v>
      </c>
      <c r="S421">
        <v>0</v>
      </c>
    </row>
    <row r="422" spans="7:19">
      <c r="G422" s="3"/>
      <c r="H422" s="3"/>
      <c r="P422" s="2">
        <v>779</v>
      </c>
      <c r="Q422" s="3">
        <v>4.44857E-5</v>
      </c>
      <c r="R422" s="3">
        <v>1.6064599999999999E-5</v>
      </c>
      <c r="S422">
        <v>0</v>
      </c>
    </row>
    <row r="423" spans="7:19">
      <c r="G423" s="3"/>
      <c r="H423" s="3"/>
      <c r="P423" s="2">
        <v>780</v>
      </c>
      <c r="Q423" s="3">
        <v>4.15099E-5</v>
      </c>
      <c r="R423" s="3">
        <v>1.499E-5</v>
      </c>
      <c r="S423">
        <v>0</v>
      </c>
    </row>
    <row r="424" spans="7:19">
      <c r="G424" s="3"/>
      <c r="H424" s="3"/>
      <c r="P424" s="2">
        <v>781</v>
      </c>
      <c r="Q424" s="3">
        <v>3.8733199999999997E-5</v>
      </c>
      <c r="R424" s="3">
        <v>1.3987300000000001E-5</v>
      </c>
      <c r="S424">
        <v>0</v>
      </c>
    </row>
    <row r="425" spans="7:19">
      <c r="G425" s="3"/>
      <c r="H425" s="3"/>
      <c r="P425" s="2">
        <v>782</v>
      </c>
      <c r="Q425" s="3">
        <v>3.6142000000000001E-5</v>
      </c>
      <c r="R425" s="3">
        <v>1.3051600000000001E-5</v>
      </c>
      <c r="S425">
        <v>0</v>
      </c>
    </row>
    <row r="426" spans="7:19">
      <c r="G426" s="3"/>
      <c r="H426" s="3"/>
      <c r="P426" s="2">
        <v>783</v>
      </c>
      <c r="Q426" s="3">
        <v>3.3723500000000003E-5</v>
      </c>
      <c r="R426" s="3">
        <v>1.21782E-5</v>
      </c>
      <c r="S426">
        <v>0</v>
      </c>
    </row>
    <row r="427" spans="7:19">
      <c r="G427" s="3"/>
      <c r="H427" s="3"/>
      <c r="P427" s="2">
        <v>784</v>
      </c>
      <c r="Q427" s="3">
        <v>3.1464899999999998E-5</v>
      </c>
      <c r="R427" s="3">
        <v>1.13625E-5</v>
      </c>
      <c r="S427">
        <v>0</v>
      </c>
    </row>
    <row r="428" spans="7:19">
      <c r="G428" s="3"/>
      <c r="H428" s="3"/>
      <c r="P428" s="2">
        <v>785</v>
      </c>
      <c r="Q428" s="3">
        <v>2.9353299999999999E-5</v>
      </c>
      <c r="R428" s="3">
        <v>1.06E-5</v>
      </c>
      <c r="S428">
        <v>0</v>
      </c>
    </row>
    <row r="429" spans="7:19">
      <c r="G429" s="3"/>
      <c r="H429" s="3"/>
      <c r="P429" s="2">
        <v>786</v>
      </c>
      <c r="Q429" s="3">
        <v>2.7375699999999999E-5</v>
      </c>
      <c r="R429" s="3">
        <v>9.88588E-6</v>
      </c>
      <c r="S429">
        <v>0</v>
      </c>
    </row>
    <row r="430" spans="7:19">
      <c r="G430" s="3"/>
      <c r="H430" s="3"/>
      <c r="P430" s="2">
        <v>787</v>
      </c>
      <c r="Q430" s="3">
        <v>2.5524299999999999E-5</v>
      </c>
      <c r="R430" s="3">
        <v>9.2173000000000007E-6</v>
      </c>
      <c r="S430">
        <v>0</v>
      </c>
    </row>
    <row r="431" spans="7:19">
      <c r="G431" s="3"/>
      <c r="H431" s="3"/>
      <c r="P431" s="2">
        <v>788</v>
      </c>
      <c r="Q431" s="3">
        <v>2.3793799999999999E-5</v>
      </c>
      <c r="R431" s="3">
        <v>8.5923599999999998E-6</v>
      </c>
      <c r="S431">
        <v>0</v>
      </c>
    </row>
    <row r="432" spans="7:19">
      <c r="G432" s="3"/>
      <c r="H432" s="3"/>
      <c r="P432" s="2">
        <v>789</v>
      </c>
      <c r="Q432" s="3">
        <v>2.2178700000000002E-5</v>
      </c>
      <c r="R432" s="3">
        <v>8.0091299999999997E-6</v>
      </c>
      <c r="S432">
        <v>0</v>
      </c>
    </row>
    <row r="433" spans="7:19">
      <c r="G433" s="3"/>
      <c r="H433" s="3"/>
      <c r="P433" s="2">
        <v>790</v>
      </c>
      <c r="Q433" s="3">
        <v>2.0673799999999998E-5</v>
      </c>
      <c r="R433" s="3">
        <v>7.4657000000000004E-6</v>
      </c>
      <c r="S433">
        <v>0</v>
      </c>
    </row>
    <row r="434" spans="7:19">
      <c r="G434" s="3"/>
      <c r="H434" s="3"/>
      <c r="P434" s="2">
        <v>791</v>
      </c>
      <c r="Q434" s="3">
        <v>1.9272299999999998E-5</v>
      </c>
      <c r="R434" s="3">
        <v>6.9595699999999998E-6</v>
      </c>
      <c r="S434">
        <v>0</v>
      </c>
    </row>
    <row r="435" spans="7:19">
      <c r="G435" s="3"/>
      <c r="H435" s="3"/>
      <c r="P435" s="2">
        <v>792</v>
      </c>
      <c r="Q435" s="3">
        <v>1.7966400000000001E-5</v>
      </c>
      <c r="R435" s="3">
        <v>6.4880000000000004E-6</v>
      </c>
      <c r="S435">
        <v>0</v>
      </c>
    </row>
    <row r="436" spans="7:19">
      <c r="G436" s="3"/>
      <c r="H436" s="3"/>
      <c r="P436" s="2">
        <v>793</v>
      </c>
      <c r="Q436" s="3">
        <v>1.67499E-5</v>
      </c>
      <c r="R436" s="3">
        <v>6.0487000000000002E-6</v>
      </c>
      <c r="S436">
        <v>0</v>
      </c>
    </row>
    <row r="437" spans="7:19">
      <c r="G437" s="3"/>
      <c r="H437" s="3"/>
      <c r="P437" s="2">
        <v>794</v>
      </c>
      <c r="Q437" s="3">
        <v>1.5616499999999999E-5</v>
      </c>
      <c r="R437" s="3">
        <v>5.6393999999999997E-6</v>
      </c>
      <c r="S437">
        <v>0</v>
      </c>
    </row>
    <row r="438" spans="7:19">
      <c r="G438" s="3"/>
      <c r="H438" s="3"/>
      <c r="P438" s="2">
        <v>795</v>
      </c>
      <c r="Q438" s="3">
        <v>1.4559800000000001E-5</v>
      </c>
      <c r="R438" s="3">
        <v>5.2577999999999999E-6</v>
      </c>
      <c r="S438">
        <v>0</v>
      </c>
    </row>
    <row r="439" spans="7:19">
      <c r="G439" s="3"/>
      <c r="H439" s="3"/>
      <c r="P439" s="2">
        <v>796</v>
      </c>
      <c r="Q439" s="3">
        <v>1.3573900000000001E-5</v>
      </c>
      <c r="R439" s="3">
        <v>4.9017699999999998E-6</v>
      </c>
      <c r="S439">
        <v>0</v>
      </c>
    </row>
    <row r="440" spans="7:19">
      <c r="G440" s="3"/>
      <c r="H440" s="3"/>
      <c r="P440" s="2">
        <v>797</v>
      </c>
      <c r="Q440" s="3">
        <v>1.26544E-5</v>
      </c>
      <c r="R440" s="3">
        <v>4.5697200000000002E-6</v>
      </c>
      <c r="S440">
        <v>0</v>
      </c>
    </row>
    <row r="441" spans="7:19">
      <c r="G441" s="3"/>
      <c r="H441" s="3"/>
      <c r="P441" s="2">
        <v>798</v>
      </c>
      <c r="Q441" s="3">
        <v>1.1797199999999999E-5</v>
      </c>
      <c r="R441" s="3">
        <v>4.2601899999999996E-6</v>
      </c>
      <c r="S441">
        <v>0</v>
      </c>
    </row>
    <row r="442" spans="7:19">
      <c r="G442" s="3"/>
      <c r="H442" s="3"/>
      <c r="P442" s="2">
        <v>799</v>
      </c>
      <c r="Q442" s="3">
        <v>1.09984E-5</v>
      </c>
      <c r="R442" s="3">
        <v>3.9717399999999999E-6</v>
      </c>
      <c r="S442">
        <v>0</v>
      </c>
    </row>
    <row r="443" spans="7:19">
      <c r="G443" s="3"/>
      <c r="H443" s="3"/>
      <c r="P443" s="2">
        <v>800</v>
      </c>
      <c r="Q443" s="3">
        <v>1.0254E-5</v>
      </c>
      <c r="R443" s="3">
        <v>3.7029000000000002E-6</v>
      </c>
      <c r="S443">
        <v>0</v>
      </c>
    </row>
    <row r="444" spans="7:19">
      <c r="G444" s="3"/>
      <c r="H444" s="3"/>
      <c r="P444" s="2">
        <v>801</v>
      </c>
      <c r="Q444" s="3">
        <v>9.5596499999999992E-6</v>
      </c>
      <c r="R444" s="3">
        <v>3.4521599999999999E-6</v>
      </c>
      <c r="S444">
        <v>0</v>
      </c>
    </row>
    <row r="445" spans="7:19">
      <c r="G445" s="3"/>
      <c r="H445" s="3"/>
      <c r="P445" s="2">
        <v>802</v>
      </c>
      <c r="Q445" s="3">
        <v>8.9120399999999998E-6</v>
      </c>
      <c r="R445" s="3">
        <v>3.2183000000000002E-6</v>
      </c>
      <c r="S445">
        <v>0</v>
      </c>
    </row>
    <row r="446" spans="7:19">
      <c r="G446" s="3"/>
      <c r="H446" s="3"/>
      <c r="P446" s="2">
        <v>803</v>
      </c>
      <c r="Q446" s="3">
        <v>8.3083600000000005E-6</v>
      </c>
      <c r="R446" s="3">
        <v>3.0002999999999999E-6</v>
      </c>
      <c r="S446">
        <v>0</v>
      </c>
    </row>
    <row r="447" spans="7:19">
      <c r="G447" s="3"/>
      <c r="H447" s="3"/>
      <c r="P447" s="2">
        <v>804</v>
      </c>
      <c r="Q447" s="3">
        <v>7.7457699999999992E-6</v>
      </c>
      <c r="R447" s="3">
        <v>2.7971400000000001E-6</v>
      </c>
      <c r="S447">
        <v>0</v>
      </c>
    </row>
    <row r="448" spans="7:19">
      <c r="G448" s="3"/>
      <c r="H448" s="3"/>
      <c r="P448" s="2">
        <v>805</v>
      </c>
      <c r="Q448" s="3">
        <v>7.22146E-6</v>
      </c>
      <c r="R448" s="3">
        <v>2.6077999999999998E-6</v>
      </c>
      <c r="S448">
        <v>0</v>
      </c>
    </row>
    <row r="449" spans="7:19">
      <c r="G449" s="3"/>
      <c r="H449" s="3"/>
      <c r="P449" s="2">
        <v>806</v>
      </c>
      <c r="Q449" s="3">
        <v>6.7324799999999998E-6</v>
      </c>
      <c r="R449" s="3">
        <v>2.4312199999999998E-6</v>
      </c>
      <c r="S449">
        <v>0</v>
      </c>
    </row>
    <row r="450" spans="7:19">
      <c r="G450" s="3"/>
      <c r="H450" s="3"/>
      <c r="P450" s="2">
        <v>807</v>
      </c>
      <c r="Q450" s="3">
        <v>6.2764200000000003E-6</v>
      </c>
      <c r="R450" s="3">
        <v>2.2665299999999998E-6</v>
      </c>
      <c r="S450">
        <v>0</v>
      </c>
    </row>
    <row r="451" spans="7:19">
      <c r="G451" s="3"/>
      <c r="H451" s="3"/>
      <c r="P451" s="2">
        <v>808</v>
      </c>
      <c r="Q451" s="3">
        <v>5.8513000000000002E-6</v>
      </c>
      <c r="R451" s="3">
        <v>2.1130100000000002E-6</v>
      </c>
      <c r="S451">
        <v>0</v>
      </c>
    </row>
    <row r="452" spans="7:19">
      <c r="G452" s="3"/>
      <c r="H452" s="3"/>
      <c r="P452" s="2">
        <v>809</v>
      </c>
      <c r="Q452" s="3">
        <v>5.4551200000000002E-6</v>
      </c>
      <c r="R452" s="3">
        <v>1.9699399999999998E-6</v>
      </c>
      <c r="S452">
        <v>0</v>
      </c>
    </row>
    <row r="453" spans="7:19">
      <c r="G453" s="3"/>
      <c r="H453" s="3"/>
      <c r="P453" s="2">
        <v>810</v>
      </c>
      <c r="Q453" s="3">
        <v>5.0858700000000003E-6</v>
      </c>
      <c r="R453" s="3">
        <v>1.8365999999999999E-6</v>
      </c>
      <c r="S453">
        <v>0</v>
      </c>
    </row>
    <row r="454" spans="7:19">
      <c r="G454" s="3"/>
      <c r="H454" s="3"/>
      <c r="P454" s="2">
        <v>811</v>
      </c>
      <c r="Q454" s="3">
        <v>4.7414699999999999E-6</v>
      </c>
      <c r="R454" s="3">
        <v>1.7122300000000001E-6</v>
      </c>
      <c r="S454">
        <v>0</v>
      </c>
    </row>
    <row r="455" spans="7:19">
      <c r="G455" s="3"/>
      <c r="H455" s="3"/>
      <c r="P455" s="2">
        <v>812</v>
      </c>
      <c r="Q455" s="3">
        <v>4.4202399999999999E-6</v>
      </c>
      <c r="R455" s="3">
        <v>1.59623E-6</v>
      </c>
      <c r="S455">
        <v>0</v>
      </c>
    </row>
    <row r="456" spans="7:19">
      <c r="G456" s="3"/>
      <c r="H456" s="3"/>
      <c r="P456" s="2">
        <v>813</v>
      </c>
      <c r="Q456" s="3">
        <v>4.1207799999999999E-6</v>
      </c>
      <c r="R456" s="3">
        <v>1.4880899999999999E-6</v>
      </c>
      <c r="S456">
        <v>0</v>
      </c>
    </row>
    <row r="457" spans="7:19">
      <c r="G457" s="3"/>
      <c r="H457" s="3"/>
      <c r="P457" s="2">
        <v>814</v>
      </c>
      <c r="Q457" s="3">
        <v>3.8417199999999997E-6</v>
      </c>
      <c r="R457" s="3">
        <v>1.3873100000000001E-6</v>
      </c>
      <c r="S457">
        <v>0</v>
      </c>
    </row>
    <row r="458" spans="7:19">
      <c r="G458" s="3"/>
      <c r="H458" s="3"/>
      <c r="P458" s="2">
        <v>815</v>
      </c>
      <c r="Q458" s="3">
        <v>3.5816499999999998E-6</v>
      </c>
      <c r="R458" s="3">
        <v>1.2934E-6</v>
      </c>
      <c r="S458">
        <v>0</v>
      </c>
    </row>
    <row r="459" spans="7:19">
      <c r="G459" s="3"/>
      <c r="H459" s="3"/>
      <c r="P459" s="2">
        <v>816</v>
      </c>
      <c r="Q459" s="3">
        <v>3.3391299999999999E-6</v>
      </c>
      <c r="R459" s="3">
        <v>1.2058200000000001E-6</v>
      </c>
      <c r="S459">
        <v>0</v>
      </c>
    </row>
    <row r="460" spans="7:19">
      <c r="G460" s="3"/>
      <c r="H460" s="3"/>
      <c r="P460" s="2">
        <v>817</v>
      </c>
      <c r="Q460" s="3">
        <v>3.11295E-6</v>
      </c>
      <c r="R460" s="3">
        <v>1.12414E-6</v>
      </c>
      <c r="S460">
        <v>0</v>
      </c>
    </row>
    <row r="461" spans="7:19">
      <c r="G461" s="3"/>
      <c r="H461" s="3"/>
      <c r="P461" s="2">
        <v>818</v>
      </c>
      <c r="Q461" s="3">
        <v>2.9021199999999998E-6</v>
      </c>
      <c r="R461" s="3">
        <v>1.04801E-6</v>
      </c>
      <c r="S461">
        <v>0</v>
      </c>
    </row>
    <row r="462" spans="7:19">
      <c r="G462" s="3"/>
      <c r="H462" s="3"/>
      <c r="P462" s="2">
        <v>819</v>
      </c>
      <c r="Q462" s="3">
        <v>2.7056500000000001E-6</v>
      </c>
      <c r="R462" s="3">
        <v>9.7705800000000004E-7</v>
      </c>
      <c r="S462">
        <v>0</v>
      </c>
    </row>
    <row r="463" spans="7:19">
      <c r="G463" s="3"/>
      <c r="H463" s="3"/>
      <c r="P463" s="2">
        <v>820</v>
      </c>
      <c r="Q463" s="3">
        <v>2.52253E-6</v>
      </c>
      <c r="R463" s="3">
        <v>9.1093000000000002E-7</v>
      </c>
      <c r="S463">
        <v>0</v>
      </c>
    </row>
    <row r="464" spans="7:19">
      <c r="G464" s="3"/>
      <c r="H464" s="3"/>
      <c r="P464" s="2">
        <v>821</v>
      </c>
      <c r="Q464" s="3">
        <v>2.3517299999999998E-6</v>
      </c>
      <c r="R464" s="3">
        <v>8.4925099999999999E-7</v>
      </c>
      <c r="S464">
        <v>0</v>
      </c>
    </row>
    <row r="465" spans="7:19">
      <c r="G465" s="3"/>
      <c r="H465" s="3"/>
      <c r="P465" s="2">
        <v>822</v>
      </c>
      <c r="Q465" s="3">
        <v>2.1924200000000001E-6</v>
      </c>
      <c r="R465" s="3">
        <v>7.9172100000000003E-7</v>
      </c>
      <c r="S465">
        <v>0</v>
      </c>
    </row>
    <row r="466" spans="7:19">
      <c r="G466" s="3"/>
      <c r="H466" s="3"/>
      <c r="P466" s="2">
        <v>823</v>
      </c>
      <c r="Q466" s="3">
        <v>2.0439E-6</v>
      </c>
      <c r="R466" s="3">
        <v>7.3809000000000001E-7</v>
      </c>
      <c r="S466">
        <v>0</v>
      </c>
    </row>
    <row r="467" spans="7:19">
      <c r="G467" s="3"/>
      <c r="H467" s="3"/>
      <c r="P467" s="2">
        <v>824</v>
      </c>
      <c r="Q467" s="3">
        <v>1.9055E-6</v>
      </c>
      <c r="R467" s="3">
        <v>6.8810999999999999E-7</v>
      </c>
      <c r="S467">
        <v>0</v>
      </c>
    </row>
    <row r="468" spans="7:19">
      <c r="G468" s="3"/>
      <c r="H468" s="3"/>
      <c r="P468" s="2">
        <v>825</v>
      </c>
      <c r="Q468" s="3">
        <v>1.7765099999999999E-6</v>
      </c>
      <c r="R468" s="3">
        <v>6.4153E-7</v>
      </c>
      <c r="S468">
        <v>0</v>
      </c>
    </row>
    <row r="469" spans="7:19">
      <c r="G469" s="3"/>
      <c r="H469" s="3"/>
      <c r="P469" s="2">
        <v>826</v>
      </c>
      <c r="Q469" s="3">
        <v>1.65622E-6</v>
      </c>
      <c r="R469" s="3">
        <v>5.9808999999999998E-7</v>
      </c>
      <c r="S469">
        <v>0</v>
      </c>
    </row>
    <row r="470" spans="7:19">
      <c r="G470" s="3"/>
      <c r="H470" s="3"/>
      <c r="P470" s="2">
        <v>827</v>
      </c>
      <c r="Q470" s="3">
        <v>1.5440200000000001E-6</v>
      </c>
      <c r="R470" s="3">
        <v>5.5757500000000001E-7</v>
      </c>
      <c r="S470">
        <v>0</v>
      </c>
    </row>
    <row r="471" spans="7:19">
      <c r="G471" s="3"/>
      <c r="H471" s="3"/>
      <c r="P471" s="2">
        <v>828</v>
      </c>
      <c r="Q471" s="3">
        <v>1.43944E-6</v>
      </c>
      <c r="R471" s="3">
        <v>5.1980799999999999E-7</v>
      </c>
      <c r="S471">
        <v>0</v>
      </c>
    </row>
    <row r="472" spans="7:19">
      <c r="G472" s="3"/>
      <c r="H472" s="3"/>
      <c r="P472" s="2">
        <v>829</v>
      </c>
      <c r="Q472" s="3">
        <v>1.3419799999999999E-6</v>
      </c>
      <c r="R472" s="3">
        <v>4.84612E-7</v>
      </c>
      <c r="S472">
        <v>0</v>
      </c>
    </row>
    <row r="473" spans="7:19">
      <c r="G473" s="3"/>
      <c r="H473" s="3"/>
      <c r="P473" s="2">
        <v>830</v>
      </c>
      <c r="Q473" s="3">
        <v>1.25114E-6</v>
      </c>
      <c r="R473" s="3">
        <v>4.5181000000000002E-7</v>
      </c>
      <c r="S473">
        <v>0</v>
      </c>
    </row>
  </sheetData>
  <sheetProtection algorithmName="SHA-512" hashValue="LYOlQMM2yOth2ULXGkKRMjCOJ3sUmGm4jVmOrY3XFswYKEggyuhObTciWLG10YakgsK9KC3v3r7nH42OLldNhg==" saltValue="arTak8BNNOcPHE3sgtV+1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</vt:lpstr>
      <vt:lpstr>Calculation</vt:lpstr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Peiqing</dc:creator>
  <cp:lastModifiedBy>培青 杨</cp:lastModifiedBy>
  <dcterms:created xsi:type="dcterms:W3CDTF">2015-06-05T18:19:34Z</dcterms:created>
  <dcterms:modified xsi:type="dcterms:W3CDTF">2026-05-15T02:19:21Z</dcterms:modified>
</cp:coreProperties>
</file>